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A:\SF\Assignments\"/>
    </mc:Choice>
  </mc:AlternateContent>
  <xr:revisionPtr revIDLastSave="0" documentId="13_ncr:1_{72D238F3-B158-43D1-BDA0-A45B46655B50}" xr6:coauthVersionLast="47" xr6:coauthVersionMax="47" xr10:uidLastSave="{00000000-0000-0000-0000-000000000000}"/>
  <bookViews>
    <workbookView xWindow="0" yWindow="0" windowWidth="23040" windowHeight="12960" activeTab="1" xr2:uid="{00000000-000D-0000-FFFF-FFFF00000000}"/>
  </bookViews>
  <sheets>
    <sheet name="Dataset" sheetId="2" r:id="rId1"/>
    <sheet name="Dashboard" sheetId="13" r:id="rId2"/>
    <sheet name="AB Testing" sheetId="6" r:id="rId3"/>
  </sheets>
  <definedNames>
    <definedName name="_xlnm._FilterDatabase" localSheetId="0" hidden="1">Dataset!$H$1:$H$151</definedName>
    <definedName name="_xlchart.v1.0" hidden="1">Dataset!$A$2:$A$151</definedName>
    <definedName name="_xlchart.v1.1" hidden="1">Dataset!$F$2:$F$151</definedName>
    <definedName name="Slicer_AI_Adoption_Level">#N/A</definedName>
    <definedName name="Slicer_Industry_Sector">#N/A</definedName>
    <definedName name="Slicer_Industry_Sector1">#N/A</definedName>
    <definedName name="Slicer_Months__Date_Joined">#N/A</definedName>
    <definedName name="Slicer_Region">#N/A</definedName>
    <definedName name="Slicer_Region1">#N/A</definedName>
    <definedName name="Slicer_Region2">#N/A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AC2" i="2"/>
  <c r="AB2" i="2"/>
  <c r="AA2" i="2"/>
  <c r="Z2" i="2"/>
  <c r="Y2" i="2"/>
  <c r="X2" i="2"/>
  <c r="D2" i="6"/>
  <c r="D3" i="6"/>
  <c r="C2" i="6"/>
  <c r="W2" i="2" a="1"/>
  <c r="W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<sst xmlns="http://schemas.openxmlformats.org/spreadsheetml/2006/main" count="1470" uniqueCount="84">
  <si>
    <t>Customer Age</t>
  </si>
  <si>
    <t>Tenure (Months)</t>
  </si>
  <si>
    <t>Monthly Subscription ($)</t>
  </si>
  <si>
    <t>Total Subscription Charges ($)</t>
  </si>
  <si>
    <t>Total IBM Revenue Contribution ($)</t>
  </si>
  <si>
    <t>Client Satisfaction Score</t>
  </si>
  <si>
    <t>Churned (Yes/No)</t>
  </si>
  <si>
    <t>Client Risk Score</t>
  </si>
  <si>
    <t>Predicted Client Lifetime Value ($)</t>
  </si>
  <si>
    <t>Cloud Platform Used</t>
  </si>
  <si>
    <t>AI Adoption Level</t>
  </si>
  <si>
    <t>Industry Sector</t>
  </si>
  <si>
    <t>Data Compliance Status</t>
  </si>
  <si>
    <t>Bias Risk Score</t>
  </si>
  <si>
    <t>Data Security Level</t>
  </si>
  <si>
    <t>Analytics Tool Used</t>
  </si>
  <si>
    <t>Visualization Effectiveness Score</t>
  </si>
  <si>
    <t>Yes</t>
  </si>
  <si>
    <t>IBM Cloud</t>
  </si>
  <si>
    <t>High</t>
  </si>
  <si>
    <t>Healthcare</t>
  </si>
  <si>
    <t>Compliant</t>
  </si>
  <si>
    <t>Low</t>
  </si>
  <si>
    <t>SQL</t>
  </si>
  <si>
    <t>None</t>
  </si>
  <si>
    <t>Retail</t>
  </si>
  <si>
    <t>Azure</t>
  </si>
  <si>
    <t>Excel</t>
  </si>
  <si>
    <t>AWS</t>
  </si>
  <si>
    <t>Medium</t>
  </si>
  <si>
    <t>Power BI</t>
  </si>
  <si>
    <t>Finance</t>
  </si>
  <si>
    <t>IBM Cognos</t>
  </si>
  <si>
    <t>Government</t>
  </si>
  <si>
    <t>Non-Compliant</t>
  </si>
  <si>
    <t>Technology</t>
  </si>
  <si>
    <t>Cluster Group</t>
  </si>
  <si>
    <t>Low Sat &amp; High Risk</t>
  </si>
  <si>
    <t>No</t>
  </si>
  <si>
    <t>Churned Count (1/0)</t>
  </si>
  <si>
    <t>Churned – Yes</t>
  </si>
  <si>
    <t>Churned – No</t>
  </si>
  <si>
    <t>p-value</t>
  </si>
  <si>
    <t>Region</t>
  </si>
  <si>
    <t>Islamabad - IBM HQ</t>
  </si>
  <si>
    <t>New York - US East</t>
  </si>
  <si>
    <t>London - UK Branch</t>
  </si>
  <si>
    <t>Lahore - Punjab Region</t>
  </si>
  <si>
    <t>Karachi - South Asia</t>
  </si>
  <si>
    <t>Sydney - Australia Pacific</t>
  </si>
  <si>
    <t>Dubai - Middle East Hub</t>
  </si>
  <si>
    <t>Berlin - EU Central</t>
  </si>
  <si>
    <t>Toronto - Canada East</t>
  </si>
  <si>
    <t>San Francisco - US West</t>
  </si>
  <si>
    <t>Total IBM Revenue Contribution With Respect to Churned Clients</t>
  </si>
  <si>
    <t>Average IBM Contributon</t>
  </si>
  <si>
    <t>Maximum  IBM Contributon</t>
  </si>
  <si>
    <t>Minimum IBM Contributon</t>
  </si>
  <si>
    <t>Median of IBM Contributon</t>
  </si>
  <si>
    <t>Standard Deviation of IBM Contributon</t>
  </si>
  <si>
    <t>Grand Total</t>
  </si>
  <si>
    <t>Column Labels</t>
  </si>
  <si>
    <t>Sum of Total IBM Revenue Contribution ($)</t>
  </si>
  <si>
    <t>Date Joined</t>
  </si>
  <si>
    <t>Average</t>
  </si>
  <si>
    <t>End Date</t>
  </si>
  <si>
    <t>Sum of Total Subscription Charges ($)</t>
  </si>
  <si>
    <t>Average of Client Satisfaction Score</t>
  </si>
  <si>
    <t>Churned-No</t>
  </si>
  <si>
    <t>Churned-Yes</t>
  </si>
  <si>
    <t>Count of Customers</t>
  </si>
  <si>
    <t>Start Month</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</si>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</sst>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Tw Cen MT"/>
      <family val="2"/>
      <scheme val="minor"/>
    </font>
    <font>
      <sz val="11"/>
      <color theme="0"/>
      <name val="Tw Cen MT"/>
      <family val="2"/>
      <scheme val="minor"/>
    </font>
    <font>
      <b/>
      <sz val="11"/>
      <color theme="0"/>
      <name val="Tw Cen MT"/>
      <family val="2"/>
      <scheme val="minor"/>
    </font>
  </fonts>
  <fills count="6">
    <fill>
      <patternFill patternType="none"/>
    </fill>
    <fill>
      <patternFill patternType="gray125"/>
    </fill>
    <fill>
      <patternFill patternType="solid">
        <fgColor theme="4"/>
      </patternFill>
    </fill>
    <fill>
      <patternFill patternType="solid">
        <fgColor theme="4"/>
        <bgColor theme="4"/>
      </patternFill>
    </fill>
    <fill>
      <patternFill patternType="solid">
        <fgColor theme="4" tint="0.79998168889431442"/>
        <bgColor theme="4" tint="0.79998168889431442"/>
      </patternFill>
    </fill>
    <fill>
      <patternFill patternType="solid">
        <fgColor theme="6"/>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3">
    <xf numFmtId="0" fontId="0" fillId="0" borderId="0"/>
    <xf numFmtId="0" fontId="1" fillId="2" borderId="0" applyNumberFormat="0" applyBorder="0" applyAlignment="0" applyProtection="0"/>
    <xf numFmtId="0" fontId="1" fillId="5" borderId="0" applyNumberFormat="0" applyBorder="0" applyAlignment="0" applyProtection="0"/>
  </cellStyleXfs>
  <cellXfs count="24">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xf>
    <xf numFmtId="0" fontId="0" fillId="0" borderId="0" xfId="0" applyAlignment="1">
      <alignment horizontal="left" vertical="center" wrapText="1"/>
    </xf>
    <xf numFmtId="0" fontId="1" fillId="2" borderId="0" xfId="1"/>
    <xf numFmtId="0" fontId="0" fillId="0" borderId="0" xfId="0"/>
    <xf numFmtId="0" fontId="0" fillId="0" borderId="0" xfId="0" applyAlignment="1">
      <alignment horizontal="center" vertical="center" wrapText="1"/>
    </xf>
    <xf numFmtId="0" fontId="0" fillId="0" borderId="0" xfId="0" pivotButton="1"/>
    <xf numFmtId="0" fontId="0" fillId="0" borderId="0" xfId="0" applyNumberFormat="1"/>
    <xf numFmtId="14" fontId="0" fillId="0" borderId="0" xfId="0" applyNumberFormat="1" applyAlignment="1">
      <alignment horizontal="left"/>
    </xf>
    <xf numFmtId="0" fontId="2" fillId="3" borderId="2" xfId="0" applyFont="1" applyFill="1" applyBorder="1"/>
    <xf numFmtId="14" fontId="0" fillId="4" borderId="2" xfId="0" applyNumberFormat="1" applyFont="1" applyFill="1" applyBorder="1" applyAlignment="1">
      <alignment horizontal="left"/>
    </xf>
    <xf numFmtId="14" fontId="0" fillId="0" borderId="2" xfId="0" applyNumberFormat="1" applyFont="1" applyBorder="1" applyAlignment="1">
      <alignment horizontal="left"/>
    </xf>
    <xf numFmtId="0" fontId="0" fillId="4" borderId="2" xfId="0" applyFont="1" applyFill="1" applyBorder="1" applyAlignment="1">
      <alignment horizontal="left"/>
    </xf>
    <xf numFmtId="0" fontId="0" fillId="0" borderId="2" xfId="0" applyFont="1" applyBorder="1" applyAlignment="1">
      <alignment horizontal="left"/>
    </xf>
    <xf numFmtId="0" fontId="0" fillId="0" borderId="1" xfId="0" applyFont="1" applyBorder="1" applyAlignment="1">
      <alignment horizontal="left"/>
    </xf>
    <xf numFmtId="14" fontId="0" fillId="0" borderId="0" xfId="0" applyNumberFormat="1"/>
    <xf numFmtId="14" fontId="2" fillId="3" borderId="2" xfId="0" applyNumberFormat="1" applyFont="1" applyFill="1" applyBorder="1"/>
    <xf numFmtId="0" fontId="0" fillId="0" borderId="0" xfId="0" applyNumberFormat="1" applyAlignment="1">
      <alignment horizontal="left"/>
    </xf>
    <xf numFmtId="14" fontId="0" fillId="0" borderId="0" xfId="0" applyNumberFormat="1" applyAlignment="1">
      <alignment horizontal="center" vertical="center"/>
    </xf>
    <xf numFmtId="0" fontId="0" fillId="0" borderId="0" xfId="0" applyNumberFormat="1" applyAlignment="1">
      <alignment horizontal="center"/>
    </xf>
    <xf numFmtId="0" fontId="1" fillId="5" borderId="0" xfId="2"/>
  </cellXfs>
  <cellStyles count="3">
    <cellStyle name="Accent1" xfId="1" builtinId="29"/>
    <cellStyle name="Accent3" xfId="2" builtinId="37"/>
    <cellStyle name="Normal" xfId="0" builtinId="0"/>
  </cellStyles>
  <dxfs count="53">
    <dxf>
      <fill>
        <patternFill>
          <bgColor theme="9"/>
        </patternFill>
      </fill>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1"/>
        <color theme="1"/>
        <name val="Tw Cen MT"/>
        <family val="2"/>
        <scheme val="minor"/>
      </font>
      <numFmt numFmtId="19" formatCode="m/d/yyyy"/>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numFmt numFmtId="19" formatCode="m/d/yyyy"/>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border>
    </dxf>
    <dxf>
      <font>
        <b val="0"/>
        <i val="0"/>
        <strike val="0"/>
        <condense val="0"/>
        <extend val="0"/>
        <outline val="0"/>
        <shadow val="0"/>
        <u val="none"/>
        <vertAlign val="baseline"/>
        <sz val="11"/>
        <color theme="1"/>
        <name val="Tw Cen MT"/>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0"/>
        <name val="Tw Cen MT"/>
        <family val="2"/>
        <scheme val="minor"/>
      </font>
      <fill>
        <patternFill patternType="solid">
          <fgColor theme="4"/>
          <bgColor theme="4"/>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Data Set 2.xlsx]Dashboard!PivotTable2</c:name>
    <c:fmtId val="2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Dashboard!$B$19:$B$20</c:f>
              <c:strCache>
                <c:ptCount val="1"/>
                <c:pt idx="0">
                  <c:v>Churned-No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Dashboard!$A$21:$A$31</c:f>
              <c:strCache>
                <c:ptCount val="10"/>
                <c:pt idx="0">
                  <c:v>Berlin - EU Central</c:v>
                </c:pt>
                <c:pt idx="1">
                  <c:v>Dubai - Middle East Hub</c:v>
                </c:pt>
                <c:pt idx="2">
                  <c:v>Islamabad - IBM HQ</c:v>
                </c:pt>
                <c:pt idx="3">
                  <c:v>Karachi - South Asia</c:v>
                </c:pt>
                <c:pt idx="4">
                  <c:v>Lahore - Punjab Region</c:v>
                </c:pt>
                <c:pt idx="5">
                  <c:v>London - UK Branch</c:v>
                </c:pt>
                <c:pt idx="6">
                  <c:v>New York - US East</c:v>
                </c:pt>
                <c:pt idx="7">
                  <c:v>San Francisco - US West</c:v>
                </c:pt>
                <c:pt idx="8">
                  <c:v>Sydney - Australia Pacific</c:v>
                </c:pt>
                <c:pt idx="9">
                  <c:v>Toronto - Canada East</c:v>
                </c:pt>
              </c:strCache>
            </c:strRef>
          </c:cat>
          <c:val>
            <c:numRef>
              <c:f>Dashboard!$B$21:$B$31</c:f>
              <c:numCache>
                <c:formatCode>General</c:formatCode>
                <c:ptCount val="10"/>
                <c:pt idx="0">
                  <c:v>15105.74</c:v>
                </c:pt>
                <c:pt idx="1">
                  <c:v>10699.990000000002</c:v>
                </c:pt>
                <c:pt idx="2">
                  <c:v>8481.14</c:v>
                </c:pt>
                <c:pt idx="3">
                  <c:v>35673.969999999994</c:v>
                </c:pt>
                <c:pt idx="4">
                  <c:v>20236.54</c:v>
                </c:pt>
                <c:pt idx="5">
                  <c:v>23844.180000000004</c:v>
                </c:pt>
                <c:pt idx="6">
                  <c:v>26405.33</c:v>
                </c:pt>
                <c:pt idx="7">
                  <c:v>7625.4100000000008</c:v>
                </c:pt>
                <c:pt idx="8">
                  <c:v>22110.790000000005</c:v>
                </c:pt>
                <c:pt idx="9">
                  <c:v>21071.239999999998</c:v>
                </c:pt>
              </c:numCache>
            </c:numRef>
          </c:val>
          <c:smooth val="0"/>
          <c:extLst>
            <c:ext xmlns:c16="http://schemas.microsoft.com/office/drawing/2014/chart" uri="{C3380CC4-5D6E-409C-BE32-E72D297353CC}">
              <c16:uniqueId val="{00000000-4A7E-4B32-8624-894CA45164D2}"/>
            </c:ext>
          </c:extLst>
        </c:ser>
        <c:ser>
          <c:idx val="1"/>
          <c:order val="1"/>
          <c:tx>
            <c:strRef>
              <c:f>Dashboard!$C$19:$C$20</c:f>
              <c:strCache>
                <c:ptCount val="1"/>
                <c:pt idx="0">
                  <c:v>Churned-Yes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Dashboard!$A$21:$A$31</c:f>
              <c:strCache>
                <c:ptCount val="10"/>
                <c:pt idx="0">
                  <c:v>Berlin - EU Central</c:v>
                </c:pt>
                <c:pt idx="1">
                  <c:v>Dubai - Middle East Hub</c:v>
                </c:pt>
                <c:pt idx="2">
                  <c:v>Islamabad - IBM HQ</c:v>
                </c:pt>
                <c:pt idx="3">
                  <c:v>Karachi - South Asia</c:v>
                </c:pt>
                <c:pt idx="4">
                  <c:v>Lahore - Punjab Region</c:v>
                </c:pt>
                <c:pt idx="5">
                  <c:v>London - UK Branch</c:v>
                </c:pt>
                <c:pt idx="6">
                  <c:v>New York - US East</c:v>
                </c:pt>
                <c:pt idx="7">
                  <c:v>San Francisco - US West</c:v>
                </c:pt>
                <c:pt idx="8">
                  <c:v>Sydney - Australia Pacific</c:v>
                </c:pt>
                <c:pt idx="9">
                  <c:v>Toronto - Canada East</c:v>
                </c:pt>
              </c:strCache>
            </c:strRef>
          </c:cat>
          <c:val>
            <c:numRef>
              <c:f>Dashboard!$C$21:$C$31</c:f>
              <c:numCache>
                <c:formatCode>General</c:formatCode>
                <c:ptCount val="10"/>
                <c:pt idx="0">
                  <c:v>15212.869999999999</c:v>
                </c:pt>
                <c:pt idx="1">
                  <c:v>13730.09</c:v>
                </c:pt>
                <c:pt idx="2">
                  <c:v>5788.3</c:v>
                </c:pt>
                <c:pt idx="3">
                  <c:v>14116.65</c:v>
                </c:pt>
                <c:pt idx="4">
                  <c:v>18518.05</c:v>
                </c:pt>
                <c:pt idx="5">
                  <c:v>5838.66</c:v>
                </c:pt>
                <c:pt idx="6">
                  <c:v>20613.489999999998</c:v>
                </c:pt>
                <c:pt idx="7">
                  <c:v>9092.35</c:v>
                </c:pt>
                <c:pt idx="8">
                  <c:v>16082.960000000001</c:v>
                </c:pt>
                <c:pt idx="9">
                  <c:v>2787.45</c:v>
                </c:pt>
              </c:numCache>
            </c:numRef>
          </c:val>
          <c:smooth val="0"/>
          <c:extLst>
            <c:ext xmlns:c16="http://schemas.microsoft.com/office/drawing/2014/chart" uri="{C3380CC4-5D6E-409C-BE32-E72D297353CC}">
              <c16:uniqueId val="{00000001-4A7E-4B32-8624-894CA45164D2}"/>
            </c:ext>
          </c:extLst>
        </c:ser>
        <c:dLbls>
          <c:showLegendKey val="0"/>
          <c:showVal val="0"/>
          <c:showCatName val="0"/>
          <c:showSerName val="0"/>
          <c:showPercent val="0"/>
          <c:showBubbleSize val="0"/>
        </c:dLbls>
        <c:marker val="1"/>
        <c:smooth val="0"/>
        <c:axId val="737664464"/>
        <c:axId val="737664944"/>
      </c:lineChart>
      <c:catAx>
        <c:axId val="73766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664944"/>
        <c:crosses val="autoZero"/>
        <c:auto val="1"/>
        <c:lblAlgn val="ctr"/>
        <c:lblOffset val="100"/>
        <c:noMultiLvlLbl val="0"/>
      </c:catAx>
      <c:valAx>
        <c:axId val="73766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6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Data Set 2.xlsx]Dashboard!PivotTable1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Dashboard!$B$5:$B$6</c:f>
              <c:strCache>
                <c:ptCount val="1"/>
                <c:pt idx="0">
                  <c:v>Finance</c:v>
                </c:pt>
              </c:strCache>
            </c:strRef>
          </c:tx>
          <c:spPr>
            <a:solidFill>
              <a:schemeClr val="accent1"/>
            </a:solidFill>
            <a:ln>
              <a:noFill/>
            </a:ln>
            <a:effectLst/>
          </c:spPr>
          <c:invertIfNegative val="0"/>
          <c:cat>
            <c:strRef>
              <c:f>Dashboard!$A$7:$A$17</c:f>
              <c:strCache>
                <c:ptCount val="10"/>
                <c:pt idx="0">
                  <c:v>Berlin - EU Central</c:v>
                </c:pt>
                <c:pt idx="1">
                  <c:v>Dubai - Middle East Hub</c:v>
                </c:pt>
                <c:pt idx="2">
                  <c:v>Islamabad - IBM HQ</c:v>
                </c:pt>
                <c:pt idx="3">
                  <c:v>Karachi - South Asia</c:v>
                </c:pt>
                <c:pt idx="4">
                  <c:v>Lahore - Punjab Region</c:v>
                </c:pt>
                <c:pt idx="5">
                  <c:v>London - UK Branch</c:v>
                </c:pt>
                <c:pt idx="6">
                  <c:v>New York - US East</c:v>
                </c:pt>
                <c:pt idx="7">
                  <c:v>San Francisco - US West</c:v>
                </c:pt>
                <c:pt idx="8">
                  <c:v>Sydney - Australia Pacific</c:v>
                </c:pt>
                <c:pt idx="9">
                  <c:v>Toronto - Canada East</c:v>
                </c:pt>
              </c:strCache>
            </c:strRef>
          </c:cat>
          <c:val>
            <c:numRef>
              <c:f>Dashboard!$B$7:$B$17</c:f>
              <c:numCache>
                <c:formatCode>General</c:formatCode>
                <c:ptCount val="10"/>
                <c:pt idx="0">
                  <c:v>742.05</c:v>
                </c:pt>
                <c:pt idx="1">
                  <c:v>1622.45</c:v>
                </c:pt>
                <c:pt idx="2">
                  <c:v>756.2</c:v>
                </c:pt>
                <c:pt idx="3">
                  <c:v>5662.5499999999993</c:v>
                </c:pt>
                <c:pt idx="4">
                  <c:v>2135.5</c:v>
                </c:pt>
                <c:pt idx="5">
                  <c:v>1613.55</c:v>
                </c:pt>
                <c:pt idx="6">
                  <c:v>1383.2</c:v>
                </c:pt>
                <c:pt idx="7">
                  <c:v>1027.3</c:v>
                </c:pt>
                <c:pt idx="8">
                  <c:v>10039.949999999999</c:v>
                </c:pt>
                <c:pt idx="9">
                  <c:v>1919.75</c:v>
                </c:pt>
              </c:numCache>
            </c:numRef>
          </c:val>
          <c:extLst>
            <c:ext xmlns:c16="http://schemas.microsoft.com/office/drawing/2014/chart" uri="{C3380CC4-5D6E-409C-BE32-E72D297353CC}">
              <c16:uniqueId val="{00000000-E0C8-4402-AC4C-A1CD959B1135}"/>
            </c:ext>
          </c:extLst>
        </c:ser>
        <c:ser>
          <c:idx val="1"/>
          <c:order val="1"/>
          <c:tx>
            <c:strRef>
              <c:f>Dashboard!$C$5:$C$6</c:f>
              <c:strCache>
                <c:ptCount val="1"/>
                <c:pt idx="0">
                  <c:v>Government</c:v>
                </c:pt>
              </c:strCache>
            </c:strRef>
          </c:tx>
          <c:spPr>
            <a:solidFill>
              <a:schemeClr val="accent2"/>
            </a:solidFill>
            <a:ln>
              <a:noFill/>
            </a:ln>
            <a:effectLst/>
          </c:spPr>
          <c:invertIfNegative val="0"/>
          <c:cat>
            <c:strRef>
              <c:f>Dashboard!$A$7:$A$17</c:f>
              <c:strCache>
                <c:ptCount val="10"/>
                <c:pt idx="0">
                  <c:v>Berlin - EU Central</c:v>
                </c:pt>
                <c:pt idx="1">
                  <c:v>Dubai - Middle East Hub</c:v>
                </c:pt>
                <c:pt idx="2">
                  <c:v>Islamabad - IBM HQ</c:v>
                </c:pt>
                <c:pt idx="3">
                  <c:v>Karachi - South Asia</c:v>
                </c:pt>
                <c:pt idx="4">
                  <c:v>Lahore - Punjab Region</c:v>
                </c:pt>
                <c:pt idx="5">
                  <c:v>London - UK Branch</c:v>
                </c:pt>
                <c:pt idx="6">
                  <c:v>New York - US East</c:v>
                </c:pt>
                <c:pt idx="7">
                  <c:v>San Francisco - US West</c:v>
                </c:pt>
                <c:pt idx="8">
                  <c:v>Sydney - Australia Pacific</c:v>
                </c:pt>
                <c:pt idx="9">
                  <c:v>Toronto - Canada East</c:v>
                </c:pt>
              </c:strCache>
            </c:strRef>
          </c:cat>
          <c:val>
            <c:numRef>
              <c:f>Dashboard!$C$7:$C$17</c:f>
              <c:numCache>
                <c:formatCode>General</c:formatCode>
                <c:ptCount val="10"/>
                <c:pt idx="0">
                  <c:v>12607.849999999999</c:v>
                </c:pt>
                <c:pt idx="1">
                  <c:v>8418.65</c:v>
                </c:pt>
                <c:pt idx="2">
                  <c:v>1460.05</c:v>
                </c:pt>
                <c:pt idx="3">
                  <c:v>6383.35</c:v>
                </c:pt>
                <c:pt idx="4">
                  <c:v>11382.55</c:v>
                </c:pt>
                <c:pt idx="5">
                  <c:v>4709.75</c:v>
                </c:pt>
                <c:pt idx="6">
                  <c:v>6820.7999999999993</c:v>
                </c:pt>
                <c:pt idx="7">
                  <c:v>1899.65</c:v>
                </c:pt>
                <c:pt idx="8">
                  <c:v>3891.8</c:v>
                </c:pt>
                <c:pt idx="9">
                  <c:v>2675.8500000000004</c:v>
                </c:pt>
              </c:numCache>
            </c:numRef>
          </c:val>
          <c:extLst>
            <c:ext xmlns:c16="http://schemas.microsoft.com/office/drawing/2014/chart" uri="{C3380CC4-5D6E-409C-BE32-E72D297353CC}">
              <c16:uniqueId val="{00000001-E0C8-4402-AC4C-A1CD959B1135}"/>
            </c:ext>
          </c:extLst>
        </c:ser>
        <c:ser>
          <c:idx val="2"/>
          <c:order val="2"/>
          <c:tx>
            <c:strRef>
              <c:f>Dashboard!$D$5:$D$6</c:f>
              <c:strCache>
                <c:ptCount val="1"/>
                <c:pt idx="0">
                  <c:v>Healthcare</c:v>
                </c:pt>
              </c:strCache>
            </c:strRef>
          </c:tx>
          <c:spPr>
            <a:solidFill>
              <a:schemeClr val="accent3"/>
            </a:solidFill>
            <a:ln>
              <a:noFill/>
            </a:ln>
            <a:effectLst/>
          </c:spPr>
          <c:invertIfNegative val="0"/>
          <c:cat>
            <c:strRef>
              <c:f>Dashboard!$A$7:$A$17</c:f>
              <c:strCache>
                <c:ptCount val="10"/>
                <c:pt idx="0">
                  <c:v>Berlin - EU Central</c:v>
                </c:pt>
                <c:pt idx="1">
                  <c:v>Dubai - Middle East Hub</c:v>
                </c:pt>
                <c:pt idx="2">
                  <c:v>Islamabad - IBM HQ</c:v>
                </c:pt>
                <c:pt idx="3">
                  <c:v>Karachi - South Asia</c:v>
                </c:pt>
                <c:pt idx="4">
                  <c:v>Lahore - Punjab Region</c:v>
                </c:pt>
                <c:pt idx="5">
                  <c:v>London - UK Branch</c:v>
                </c:pt>
                <c:pt idx="6">
                  <c:v>New York - US East</c:v>
                </c:pt>
                <c:pt idx="7">
                  <c:v>San Francisco - US West</c:v>
                </c:pt>
                <c:pt idx="8">
                  <c:v>Sydney - Australia Pacific</c:v>
                </c:pt>
                <c:pt idx="9">
                  <c:v>Toronto - Canada East</c:v>
                </c:pt>
              </c:strCache>
            </c:strRef>
          </c:cat>
          <c:val>
            <c:numRef>
              <c:f>Dashboard!$D$7:$D$17</c:f>
              <c:numCache>
                <c:formatCode>General</c:formatCode>
                <c:ptCount val="10"/>
                <c:pt idx="0">
                  <c:v>8279.85</c:v>
                </c:pt>
                <c:pt idx="1">
                  <c:v>3246.3</c:v>
                </c:pt>
                <c:pt idx="2">
                  <c:v>1347.65</c:v>
                </c:pt>
                <c:pt idx="3">
                  <c:v>7817.8</c:v>
                </c:pt>
                <c:pt idx="4">
                  <c:v>6519.9999999999991</c:v>
                </c:pt>
                <c:pt idx="5">
                  <c:v>14331.15</c:v>
                </c:pt>
                <c:pt idx="6">
                  <c:v>9758.5</c:v>
                </c:pt>
                <c:pt idx="7">
                  <c:v>6050.0499999999993</c:v>
                </c:pt>
                <c:pt idx="8">
                  <c:v>3364.05</c:v>
                </c:pt>
                <c:pt idx="9">
                  <c:v>8069.1</c:v>
                </c:pt>
              </c:numCache>
            </c:numRef>
          </c:val>
          <c:extLst>
            <c:ext xmlns:c16="http://schemas.microsoft.com/office/drawing/2014/chart" uri="{C3380CC4-5D6E-409C-BE32-E72D297353CC}">
              <c16:uniqueId val="{00000002-E0C8-4402-AC4C-A1CD959B1135}"/>
            </c:ext>
          </c:extLst>
        </c:ser>
        <c:ser>
          <c:idx val="3"/>
          <c:order val="3"/>
          <c:tx>
            <c:strRef>
              <c:f>Dashboard!$E$5:$E$6</c:f>
              <c:strCache>
                <c:ptCount val="1"/>
                <c:pt idx="0">
                  <c:v>Retail</c:v>
                </c:pt>
              </c:strCache>
            </c:strRef>
          </c:tx>
          <c:spPr>
            <a:solidFill>
              <a:schemeClr val="accent4"/>
            </a:solidFill>
            <a:ln>
              <a:noFill/>
            </a:ln>
            <a:effectLst/>
          </c:spPr>
          <c:invertIfNegative val="0"/>
          <c:cat>
            <c:strRef>
              <c:f>Dashboard!$A$7:$A$17</c:f>
              <c:strCache>
                <c:ptCount val="10"/>
                <c:pt idx="0">
                  <c:v>Berlin - EU Central</c:v>
                </c:pt>
                <c:pt idx="1">
                  <c:v>Dubai - Middle East Hub</c:v>
                </c:pt>
                <c:pt idx="2">
                  <c:v>Islamabad - IBM HQ</c:v>
                </c:pt>
                <c:pt idx="3">
                  <c:v>Karachi - South Asia</c:v>
                </c:pt>
                <c:pt idx="4">
                  <c:v>Lahore - Punjab Region</c:v>
                </c:pt>
                <c:pt idx="5">
                  <c:v>London - UK Branch</c:v>
                </c:pt>
                <c:pt idx="6">
                  <c:v>New York - US East</c:v>
                </c:pt>
                <c:pt idx="7">
                  <c:v>San Francisco - US West</c:v>
                </c:pt>
                <c:pt idx="8">
                  <c:v>Sydney - Australia Pacific</c:v>
                </c:pt>
                <c:pt idx="9">
                  <c:v>Toronto - Canada East</c:v>
                </c:pt>
              </c:strCache>
            </c:strRef>
          </c:cat>
          <c:val>
            <c:numRef>
              <c:f>Dashboard!$E$7:$E$17</c:f>
              <c:numCache>
                <c:formatCode>General</c:formatCode>
                <c:ptCount val="10"/>
                <c:pt idx="0">
                  <c:v>4687.8999999999996</c:v>
                </c:pt>
                <c:pt idx="1">
                  <c:v>3586.45</c:v>
                </c:pt>
                <c:pt idx="2">
                  <c:v>5274.2</c:v>
                </c:pt>
                <c:pt idx="3">
                  <c:v>1395.85</c:v>
                </c:pt>
                <c:pt idx="4">
                  <c:v>6897.45</c:v>
                </c:pt>
                <c:pt idx="5">
                  <c:v>3395.8</c:v>
                </c:pt>
                <c:pt idx="6">
                  <c:v>7361</c:v>
                </c:pt>
                <c:pt idx="7">
                  <c:v>2562.15</c:v>
                </c:pt>
                <c:pt idx="8">
                  <c:v>362.75</c:v>
                </c:pt>
                <c:pt idx="9">
                  <c:v>2155.25</c:v>
                </c:pt>
              </c:numCache>
            </c:numRef>
          </c:val>
          <c:extLst>
            <c:ext xmlns:c16="http://schemas.microsoft.com/office/drawing/2014/chart" uri="{C3380CC4-5D6E-409C-BE32-E72D297353CC}">
              <c16:uniqueId val="{00000003-E0C8-4402-AC4C-A1CD959B1135}"/>
            </c:ext>
          </c:extLst>
        </c:ser>
        <c:ser>
          <c:idx val="4"/>
          <c:order val="4"/>
          <c:tx>
            <c:strRef>
              <c:f>Dashboard!$F$5:$F$6</c:f>
              <c:strCache>
                <c:ptCount val="1"/>
                <c:pt idx="0">
                  <c:v>Technology</c:v>
                </c:pt>
              </c:strCache>
            </c:strRef>
          </c:tx>
          <c:spPr>
            <a:solidFill>
              <a:schemeClr val="accent5"/>
            </a:solidFill>
            <a:ln>
              <a:noFill/>
            </a:ln>
            <a:effectLst/>
          </c:spPr>
          <c:invertIfNegative val="0"/>
          <c:cat>
            <c:strRef>
              <c:f>Dashboard!$A$7:$A$17</c:f>
              <c:strCache>
                <c:ptCount val="10"/>
                <c:pt idx="0">
                  <c:v>Berlin - EU Central</c:v>
                </c:pt>
                <c:pt idx="1">
                  <c:v>Dubai - Middle East Hub</c:v>
                </c:pt>
                <c:pt idx="2">
                  <c:v>Islamabad - IBM HQ</c:v>
                </c:pt>
                <c:pt idx="3">
                  <c:v>Karachi - South Asia</c:v>
                </c:pt>
                <c:pt idx="4">
                  <c:v>Lahore - Punjab Region</c:v>
                </c:pt>
                <c:pt idx="5">
                  <c:v>London - UK Branch</c:v>
                </c:pt>
                <c:pt idx="6">
                  <c:v>New York - US East</c:v>
                </c:pt>
                <c:pt idx="7">
                  <c:v>San Francisco - US West</c:v>
                </c:pt>
                <c:pt idx="8">
                  <c:v>Sydney - Australia Pacific</c:v>
                </c:pt>
                <c:pt idx="9">
                  <c:v>Toronto - Canada East</c:v>
                </c:pt>
              </c:strCache>
            </c:strRef>
          </c:cat>
          <c:val>
            <c:numRef>
              <c:f>Dashboard!$F$7:$F$17</c:f>
              <c:numCache>
                <c:formatCode>General</c:formatCode>
                <c:ptCount val="10"/>
                <c:pt idx="0">
                  <c:v>74.7</c:v>
                </c:pt>
                <c:pt idx="1">
                  <c:v>1253.05</c:v>
                </c:pt>
                <c:pt idx="2">
                  <c:v>2664.0499999999997</c:v>
                </c:pt>
                <c:pt idx="3">
                  <c:v>17294.449999999997</c:v>
                </c:pt>
                <c:pt idx="4">
                  <c:v>2761.5000000000005</c:v>
                </c:pt>
                <c:pt idx="5">
                  <c:v>840.1</c:v>
                </c:pt>
                <c:pt idx="6">
                  <c:v>10438.949999999999</c:v>
                </c:pt>
                <c:pt idx="7">
                  <c:v>898.6</c:v>
                </c:pt>
                <c:pt idx="8">
                  <c:v>11256.95</c:v>
                </c:pt>
                <c:pt idx="9">
                  <c:v>3105.55</c:v>
                </c:pt>
              </c:numCache>
            </c:numRef>
          </c:val>
          <c:extLst>
            <c:ext xmlns:c16="http://schemas.microsoft.com/office/drawing/2014/chart" uri="{C3380CC4-5D6E-409C-BE32-E72D297353CC}">
              <c16:uniqueId val="{00000004-E0C8-4402-AC4C-A1CD959B1135}"/>
            </c:ext>
          </c:extLst>
        </c:ser>
        <c:dLbls>
          <c:showLegendKey val="0"/>
          <c:showVal val="0"/>
          <c:showCatName val="0"/>
          <c:showSerName val="0"/>
          <c:showPercent val="0"/>
          <c:showBubbleSize val="0"/>
        </c:dLbls>
        <c:gapWidth val="219"/>
        <c:overlap val="-27"/>
        <c:axId val="995909968"/>
        <c:axId val="995910448"/>
      </c:barChart>
      <c:catAx>
        <c:axId val="99590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910448"/>
        <c:crosses val="autoZero"/>
        <c:auto val="1"/>
        <c:lblAlgn val="ctr"/>
        <c:lblOffset val="100"/>
        <c:noMultiLvlLbl val="0"/>
      </c:catAx>
      <c:valAx>
        <c:axId val="99591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90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Data Set 2.xlsx]Dashboard!PivotTable3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Dashboard!$B$33</c:f>
              <c:strCache>
                <c:ptCount val="1"/>
                <c:pt idx="0">
                  <c:v>Total</c:v>
                </c:pt>
              </c:strCache>
            </c:strRef>
          </c:tx>
          <c:spPr>
            <a:solidFill>
              <a:schemeClr val="accent1"/>
            </a:solidFill>
            <a:ln>
              <a:noFill/>
            </a:ln>
            <a:effectLst/>
          </c:spPr>
          <c:invertIfNegative val="0"/>
          <c:cat>
            <c:strRef>
              <c:f>Dashboard!$A$34:$A$37</c:f>
              <c:strCache>
                <c:ptCount val="3"/>
                <c:pt idx="0">
                  <c:v>High</c:v>
                </c:pt>
                <c:pt idx="1">
                  <c:v>Low</c:v>
                </c:pt>
                <c:pt idx="2">
                  <c:v>Medium</c:v>
                </c:pt>
              </c:strCache>
            </c:strRef>
          </c:cat>
          <c:val>
            <c:numRef>
              <c:f>Dashboard!$B$34:$B$37</c:f>
              <c:numCache>
                <c:formatCode>General</c:formatCode>
                <c:ptCount val="3"/>
                <c:pt idx="0">
                  <c:v>87580.680000000008</c:v>
                </c:pt>
                <c:pt idx="1">
                  <c:v>123670.31999999999</c:v>
                </c:pt>
                <c:pt idx="2">
                  <c:v>101784.2</c:v>
                </c:pt>
              </c:numCache>
            </c:numRef>
          </c:val>
          <c:extLst>
            <c:ext xmlns:c16="http://schemas.microsoft.com/office/drawing/2014/chart" uri="{C3380CC4-5D6E-409C-BE32-E72D297353CC}">
              <c16:uniqueId val="{00000000-49EE-43F2-BB8A-456701409915}"/>
            </c:ext>
          </c:extLst>
        </c:ser>
        <c:dLbls>
          <c:showLegendKey val="0"/>
          <c:showVal val="0"/>
          <c:showCatName val="0"/>
          <c:showSerName val="0"/>
          <c:showPercent val="0"/>
          <c:showBubbleSize val="0"/>
        </c:dLbls>
        <c:gapWidth val="219"/>
        <c:overlap val="-27"/>
        <c:axId val="947878144"/>
        <c:axId val="947879104"/>
      </c:barChart>
      <c:catAx>
        <c:axId val="94787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879104"/>
        <c:crosses val="autoZero"/>
        <c:auto val="1"/>
        <c:lblAlgn val="ctr"/>
        <c:lblOffset val="100"/>
        <c:noMultiLvlLbl val="0"/>
      </c:catAx>
      <c:valAx>
        <c:axId val="94787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87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Data Set 2.xlsx]Dashboard!PivotTable4</c:name>
    <c:fmtId val="3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cap="all" normalizeH="0" baseline="0"/>
              <a:t>Avg Satisfaction by Industry</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0F6F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0F6F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0F6F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Dashboard!$K$34</c:f>
              <c:strCache>
                <c:ptCount val="1"/>
                <c:pt idx="0">
                  <c:v>Total</c:v>
                </c:pt>
              </c:strCache>
            </c:strRef>
          </c:tx>
          <c:spPr>
            <a:pattFill prst="ltUpDiag">
              <a:fgClr>
                <a:schemeClr val="accent1"/>
              </a:fgClr>
              <a:bgClr>
                <a:schemeClr val="lt1"/>
              </a:bgClr>
            </a:pattFill>
            <a:ln>
              <a:noFill/>
            </a:ln>
            <a:effectLst/>
          </c:spPr>
          <c:invertIfNegative val="0"/>
          <c:dLbls>
            <c:spPr>
              <a:solidFill>
                <a:srgbClr val="0F6F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Dashboard!$J$35:$J$40</c:f>
              <c:strCache>
                <c:ptCount val="5"/>
                <c:pt idx="0">
                  <c:v>Finance</c:v>
                </c:pt>
                <c:pt idx="1">
                  <c:v>Government</c:v>
                </c:pt>
                <c:pt idx="2">
                  <c:v>Healthcare</c:v>
                </c:pt>
                <c:pt idx="3">
                  <c:v>Retail</c:v>
                </c:pt>
                <c:pt idx="4">
                  <c:v>Technology</c:v>
                </c:pt>
              </c:strCache>
            </c:strRef>
          </c:cat>
          <c:val>
            <c:numRef>
              <c:f>Dashboard!$K$35:$K$40</c:f>
              <c:numCache>
                <c:formatCode>General</c:formatCode>
                <c:ptCount val="5"/>
                <c:pt idx="0">
                  <c:v>1.76</c:v>
                </c:pt>
                <c:pt idx="1">
                  <c:v>1.59375</c:v>
                </c:pt>
                <c:pt idx="2">
                  <c:v>1.6585365853658536</c:v>
                </c:pt>
                <c:pt idx="3">
                  <c:v>1.7619047619047619</c:v>
                </c:pt>
                <c:pt idx="4">
                  <c:v>1.8709677419354838</c:v>
                </c:pt>
              </c:numCache>
            </c:numRef>
          </c:val>
          <c:extLst>
            <c:ext xmlns:c16="http://schemas.microsoft.com/office/drawing/2014/chart" uri="{C3380CC4-5D6E-409C-BE32-E72D297353CC}">
              <c16:uniqueId val="{00000000-798C-44CE-B6C0-3C500D2E52F7}"/>
            </c:ext>
          </c:extLst>
        </c:ser>
        <c:dLbls>
          <c:dLblPos val="outEnd"/>
          <c:showLegendKey val="0"/>
          <c:showVal val="1"/>
          <c:showCatName val="0"/>
          <c:showSerName val="0"/>
          <c:showPercent val="0"/>
          <c:showBubbleSize val="0"/>
        </c:dLbls>
        <c:gapWidth val="269"/>
        <c:overlap val="-20"/>
        <c:axId val="654848176"/>
        <c:axId val="654850576"/>
      </c:barChart>
      <c:catAx>
        <c:axId val="6548481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54850576"/>
        <c:crosses val="autoZero"/>
        <c:auto val="1"/>
        <c:lblAlgn val="ctr"/>
        <c:lblOffset val="100"/>
        <c:noMultiLvlLbl val="0"/>
      </c:catAx>
      <c:valAx>
        <c:axId val="654850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54848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Data Set 2.xlsx]Dashboard!PivotTable6</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cap="all" baseline="0"/>
              <a:t>Client Count by Region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Dashboard!$O$19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B1A-4B76-A886-E5FBB2F1CB2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B1A-4B76-A886-E5FBB2F1CB2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B1A-4B76-A886-E5FBB2F1CB2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B1A-4B76-A886-E5FBB2F1CB2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B1A-4B76-A886-E5FBB2F1CB2B}"/>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7B1A-4B76-A886-E5FBB2F1CB2B}"/>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7B1A-4B76-A886-E5FBB2F1CB2B}"/>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7B1A-4B76-A886-E5FBB2F1CB2B}"/>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7B1A-4B76-A886-E5FBB2F1CB2B}"/>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7B1A-4B76-A886-E5FBB2F1CB2B}"/>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7B1A-4B76-A886-E5FBB2F1CB2B}"/>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7B1A-4B76-A886-E5FBB2F1CB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Dashboard!$N$20:$N$32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Dashboard!$O$20:$O$32</c:f>
              <c:numCache>
                <c:formatCode>General</c:formatCode>
                <c:ptCount val="12"/>
                <c:pt idx="0">
                  <c:v>8</c:v>
                </c:pt>
                <c:pt idx="1">
                  <c:v>11</c:v>
                </c:pt>
                <c:pt idx="2">
                  <c:v>16</c:v>
                </c:pt>
                <c:pt idx="3">
                  <c:v>10</c:v>
                </c:pt>
                <c:pt idx="4">
                  <c:v>15</c:v>
                </c:pt>
                <c:pt idx="5">
                  <c:v>11</c:v>
                </c:pt>
                <c:pt idx="6">
                  <c:v>9</c:v>
                </c:pt>
                <c:pt idx="7">
                  <c:v>11</c:v>
                </c:pt>
                <c:pt idx="8">
                  <c:v>13</c:v>
                </c:pt>
                <c:pt idx="9">
                  <c:v>19</c:v>
                </c:pt>
                <c:pt idx="10">
                  <c:v>19</c:v>
                </c:pt>
                <c:pt idx="11">
                  <c:v>8</c:v>
                </c:pt>
              </c:numCache>
            </c:numRef>
          </c:val>
          <c:extLst>
            <c:ext xmlns:c16="http://schemas.microsoft.com/office/drawing/2014/chart" uri="{C3380CC4-5D6E-409C-BE32-E72D297353CC}">
              <c16:uniqueId val="{00000018-7B1A-4B76-A886-E5FBB2F1CB2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Data Set 2.xlsx]Dashboard!PivotTable6</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cap="all" normalizeH="0" baseline="0"/>
              <a:t>Monthly Join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0F6FC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0F6FC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0F6FC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Dashboard!$O$19</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0F6FC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Dashboard!$N$20:$N$32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Dashboard!$O$20:$O$32</c:f>
              <c:numCache>
                <c:formatCode>General</c:formatCode>
                <c:ptCount val="12"/>
                <c:pt idx="0">
                  <c:v>8</c:v>
                </c:pt>
                <c:pt idx="1">
                  <c:v>11</c:v>
                </c:pt>
                <c:pt idx="2">
                  <c:v>16</c:v>
                </c:pt>
                <c:pt idx="3">
                  <c:v>10</c:v>
                </c:pt>
                <c:pt idx="4">
                  <c:v>15</c:v>
                </c:pt>
                <c:pt idx="5">
                  <c:v>11</c:v>
                </c:pt>
                <c:pt idx="6">
                  <c:v>9</c:v>
                </c:pt>
                <c:pt idx="7">
                  <c:v>11</c:v>
                </c:pt>
                <c:pt idx="8">
                  <c:v>13</c:v>
                </c:pt>
                <c:pt idx="9">
                  <c:v>19</c:v>
                </c:pt>
                <c:pt idx="10">
                  <c:v>19</c:v>
                </c:pt>
                <c:pt idx="11">
                  <c:v>8</c:v>
                </c:pt>
              </c:numCache>
            </c:numRef>
          </c:val>
          <c:smooth val="0"/>
          <c:extLst>
            <c:ext xmlns:c16="http://schemas.microsoft.com/office/drawing/2014/chart" uri="{C3380CC4-5D6E-409C-BE32-E72D297353CC}">
              <c16:uniqueId val="{00000000-3C1E-48DB-A800-67486274705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3544640"/>
        <c:axId val="33544160"/>
      </c:lineChart>
      <c:catAx>
        <c:axId val="33544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3544160"/>
        <c:crosses val="autoZero"/>
        <c:auto val="1"/>
        <c:lblAlgn val="ctr"/>
        <c:lblOffset val="100"/>
        <c:noMultiLvlLbl val="0"/>
      </c:catAx>
      <c:valAx>
        <c:axId val="33544160"/>
        <c:scaling>
          <c:orientation val="minMax"/>
        </c:scaling>
        <c:delete val="1"/>
        <c:axPos val="l"/>
        <c:numFmt formatCode="General" sourceLinked="1"/>
        <c:majorTickMark val="none"/>
        <c:minorTickMark val="none"/>
        <c:tickLblPos val="nextTo"/>
        <c:crossAx val="3354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Data Set 2.xlsx]Dashboard!PivotTable8</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a:t>
            </a:r>
            <a:r>
              <a:rPr lang="en-US" baseline="0"/>
              <a:t> Contribution By Industry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Dashboard!$K$41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Dashboard!$J$42:$J$47</c:f>
              <c:strCache>
                <c:ptCount val="5"/>
                <c:pt idx="0">
                  <c:v>Healthcare</c:v>
                </c:pt>
                <c:pt idx="1">
                  <c:v>Government</c:v>
                </c:pt>
                <c:pt idx="2">
                  <c:v>Technology</c:v>
                </c:pt>
                <c:pt idx="3">
                  <c:v>Retail</c:v>
                </c:pt>
                <c:pt idx="4">
                  <c:v>Finance</c:v>
                </c:pt>
              </c:strCache>
            </c:strRef>
          </c:cat>
          <c:val>
            <c:numRef>
              <c:f>Dashboard!$K$42:$K$47</c:f>
              <c:numCache>
                <c:formatCode>General</c:formatCode>
                <c:ptCount val="5"/>
                <c:pt idx="0">
                  <c:v>89826.76999999999</c:v>
                </c:pt>
                <c:pt idx="1">
                  <c:v>75013.680000000008</c:v>
                </c:pt>
                <c:pt idx="2">
                  <c:v>65558.559999999998</c:v>
                </c:pt>
                <c:pt idx="3">
                  <c:v>47019.040000000008</c:v>
                </c:pt>
                <c:pt idx="4">
                  <c:v>35617.15</c:v>
                </c:pt>
              </c:numCache>
            </c:numRef>
          </c:val>
          <c:extLst>
            <c:ext xmlns:c16="http://schemas.microsoft.com/office/drawing/2014/chart" uri="{C3380CC4-5D6E-409C-BE32-E72D297353CC}">
              <c16:uniqueId val="{00000000-B902-4FFB-AC29-AF483ED32AB3}"/>
            </c:ext>
          </c:extLst>
        </c:ser>
        <c:dLbls>
          <c:dLblPos val="inEnd"/>
          <c:showLegendKey val="0"/>
          <c:showVal val="1"/>
          <c:showCatName val="0"/>
          <c:showSerName val="0"/>
          <c:showPercent val="0"/>
          <c:showBubbleSize val="0"/>
        </c:dLbls>
        <c:gapWidth val="65"/>
        <c:axId val="346936880"/>
        <c:axId val="346943600"/>
      </c:barChart>
      <c:catAx>
        <c:axId val="3469368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6943600"/>
        <c:crosses val="autoZero"/>
        <c:auto val="1"/>
        <c:lblAlgn val="ctr"/>
        <c:lblOffset val="100"/>
        <c:noMultiLvlLbl val="0"/>
      </c:catAx>
      <c:valAx>
        <c:axId val="34694360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4693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Dataset!$L$1</c:f>
              <c:strCache>
                <c:ptCount val="1"/>
                <c:pt idx="0">
                  <c:v>Predicted Client Lifetime Value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22225" cap="rnd">
                <a:solidFill>
                  <a:srgbClr val="FFC000"/>
                </a:solidFill>
                <a:prstDash val="solid"/>
              </a:ln>
              <a:effectLst/>
            </c:spPr>
            <c:trendlineType val="linear"/>
            <c:backward val="19.64"/>
            <c:intercept val="0"/>
            <c:dispRSqr val="1"/>
            <c:dispEq val="1"/>
            <c:trendlineLbl>
              <c:layout>
                <c:manualLayout>
                  <c:x val="1.65249343832021E-2"/>
                  <c:y val="0.466490959463400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Dataset!$E$2:$E$151</c:f>
              <c:numCache>
                <c:formatCode>General</c:formatCode>
                <c:ptCount val="150"/>
                <c:pt idx="0">
                  <c:v>49.25</c:v>
                </c:pt>
                <c:pt idx="1">
                  <c:v>85.6</c:v>
                </c:pt>
                <c:pt idx="2">
                  <c:v>86.85</c:v>
                </c:pt>
                <c:pt idx="3">
                  <c:v>25.2</c:v>
                </c:pt>
                <c:pt idx="4">
                  <c:v>88.8</c:v>
                </c:pt>
                <c:pt idx="5">
                  <c:v>74.400000000000006</c:v>
                </c:pt>
                <c:pt idx="6">
                  <c:v>49.15</c:v>
                </c:pt>
                <c:pt idx="7">
                  <c:v>74.349999999999994</c:v>
                </c:pt>
                <c:pt idx="8">
                  <c:v>30.35</c:v>
                </c:pt>
                <c:pt idx="9">
                  <c:v>25.8</c:v>
                </c:pt>
                <c:pt idx="10">
                  <c:v>110</c:v>
                </c:pt>
                <c:pt idx="11">
                  <c:v>69.95</c:v>
                </c:pt>
                <c:pt idx="12">
                  <c:v>94.1</c:v>
                </c:pt>
                <c:pt idx="13">
                  <c:v>110.75</c:v>
                </c:pt>
                <c:pt idx="14">
                  <c:v>81</c:v>
                </c:pt>
                <c:pt idx="15">
                  <c:v>79.400000000000006</c:v>
                </c:pt>
                <c:pt idx="16">
                  <c:v>84.75</c:v>
                </c:pt>
                <c:pt idx="17">
                  <c:v>74.400000000000006</c:v>
                </c:pt>
                <c:pt idx="18">
                  <c:v>84.6</c:v>
                </c:pt>
                <c:pt idx="19">
                  <c:v>19.649999999999999</c:v>
                </c:pt>
                <c:pt idx="20">
                  <c:v>76.45</c:v>
                </c:pt>
                <c:pt idx="21">
                  <c:v>106.9</c:v>
                </c:pt>
                <c:pt idx="22">
                  <c:v>44.85</c:v>
                </c:pt>
                <c:pt idx="23">
                  <c:v>75.650000000000006</c:v>
                </c:pt>
                <c:pt idx="24">
                  <c:v>41.9</c:v>
                </c:pt>
                <c:pt idx="25">
                  <c:v>85.45</c:v>
                </c:pt>
                <c:pt idx="26">
                  <c:v>98.5</c:v>
                </c:pt>
                <c:pt idx="27">
                  <c:v>94.55</c:v>
                </c:pt>
                <c:pt idx="28">
                  <c:v>81.349999999999994</c:v>
                </c:pt>
                <c:pt idx="29">
                  <c:v>85.35</c:v>
                </c:pt>
                <c:pt idx="30">
                  <c:v>74.45</c:v>
                </c:pt>
                <c:pt idx="31">
                  <c:v>92.1</c:v>
                </c:pt>
                <c:pt idx="32">
                  <c:v>99.05</c:v>
                </c:pt>
                <c:pt idx="33">
                  <c:v>88.3</c:v>
                </c:pt>
                <c:pt idx="34">
                  <c:v>95.05</c:v>
                </c:pt>
                <c:pt idx="35">
                  <c:v>89.05</c:v>
                </c:pt>
                <c:pt idx="36">
                  <c:v>108.15</c:v>
                </c:pt>
                <c:pt idx="37">
                  <c:v>108.4</c:v>
                </c:pt>
                <c:pt idx="38">
                  <c:v>106.35</c:v>
                </c:pt>
                <c:pt idx="39">
                  <c:v>94.5</c:v>
                </c:pt>
                <c:pt idx="40">
                  <c:v>24.45</c:v>
                </c:pt>
                <c:pt idx="41">
                  <c:v>43.65</c:v>
                </c:pt>
                <c:pt idx="42">
                  <c:v>94.3</c:v>
                </c:pt>
                <c:pt idx="43">
                  <c:v>78.05</c:v>
                </c:pt>
                <c:pt idx="44">
                  <c:v>100.5</c:v>
                </c:pt>
                <c:pt idx="45">
                  <c:v>96.7</c:v>
                </c:pt>
                <c:pt idx="46">
                  <c:v>78.95</c:v>
                </c:pt>
                <c:pt idx="47">
                  <c:v>76.5</c:v>
                </c:pt>
                <c:pt idx="48">
                  <c:v>108.85</c:v>
                </c:pt>
                <c:pt idx="49">
                  <c:v>45.3</c:v>
                </c:pt>
                <c:pt idx="50">
                  <c:v>98.55</c:v>
                </c:pt>
                <c:pt idx="51">
                  <c:v>95.35</c:v>
                </c:pt>
                <c:pt idx="52">
                  <c:v>69.25</c:v>
                </c:pt>
                <c:pt idx="53">
                  <c:v>75.55</c:v>
                </c:pt>
                <c:pt idx="54">
                  <c:v>50.15</c:v>
                </c:pt>
                <c:pt idx="55">
                  <c:v>75.5</c:v>
                </c:pt>
                <c:pt idx="56">
                  <c:v>75.3</c:v>
                </c:pt>
                <c:pt idx="57">
                  <c:v>43.3</c:v>
                </c:pt>
                <c:pt idx="58">
                  <c:v>79.099999999999994</c:v>
                </c:pt>
                <c:pt idx="59">
                  <c:v>95.25</c:v>
                </c:pt>
                <c:pt idx="60">
                  <c:v>90.45</c:v>
                </c:pt>
                <c:pt idx="61">
                  <c:v>83.05</c:v>
                </c:pt>
                <c:pt idx="62">
                  <c:v>76.099999999999994</c:v>
                </c:pt>
                <c:pt idx="63">
                  <c:v>91.3</c:v>
                </c:pt>
                <c:pt idx="64">
                  <c:v>84.4</c:v>
                </c:pt>
                <c:pt idx="65">
                  <c:v>95.6</c:v>
                </c:pt>
                <c:pt idx="66">
                  <c:v>91.7</c:v>
                </c:pt>
                <c:pt idx="67">
                  <c:v>45.1</c:v>
                </c:pt>
                <c:pt idx="68">
                  <c:v>89.5</c:v>
                </c:pt>
                <c:pt idx="69">
                  <c:v>113.2</c:v>
                </c:pt>
                <c:pt idx="70">
                  <c:v>94.25</c:v>
                </c:pt>
                <c:pt idx="71">
                  <c:v>99.8</c:v>
                </c:pt>
                <c:pt idx="72">
                  <c:v>75.2</c:v>
                </c:pt>
                <c:pt idx="73">
                  <c:v>104.75</c:v>
                </c:pt>
                <c:pt idx="74">
                  <c:v>57.15</c:v>
                </c:pt>
                <c:pt idx="75">
                  <c:v>45</c:v>
                </c:pt>
                <c:pt idx="76">
                  <c:v>96.15</c:v>
                </c:pt>
                <c:pt idx="77">
                  <c:v>80.599999999999994</c:v>
                </c:pt>
                <c:pt idx="78">
                  <c:v>95</c:v>
                </c:pt>
                <c:pt idx="79">
                  <c:v>70.45</c:v>
                </c:pt>
                <c:pt idx="80">
                  <c:v>78.849999999999994</c:v>
                </c:pt>
                <c:pt idx="81">
                  <c:v>72.849999999999994</c:v>
                </c:pt>
                <c:pt idx="82">
                  <c:v>94.55</c:v>
                </c:pt>
                <c:pt idx="83">
                  <c:v>86.6</c:v>
                </c:pt>
                <c:pt idx="84">
                  <c:v>93.85</c:v>
                </c:pt>
                <c:pt idx="85">
                  <c:v>93.55</c:v>
                </c:pt>
                <c:pt idx="86">
                  <c:v>88.2</c:v>
                </c:pt>
                <c:pt idx="87">
                  <c:v>74.5</c:v>
                </c:pt>
                <c:pt idx="88">
                  <c:v>73.650000000000006</c:v>
                </c:pt>
                <c:pt idx="89">
                  <c:v>41.15</c:v>
                </c:pt>
                <c:pt idx="90">
                  <c:v>96.8</c:v>
                </c:pt>
                <c:pt idx="91">
                  <c:v>30.75</c:v>
                </c:pt>
                <c:pt idx="92">
                  <c:v>89.2</c:v>
                </c:pt>
                <c:pt idx="93">
                  <c:v>39.65</c:v>
                </c:pt>
                <c:pt idx="94">
                  <c:v>45.1</c:v>
                </c:pt>
                <c:pt idx="95">
                  <c:v>80.45</c:v>
                </c:pt>
                <c:pt idx="96">
                  <c:v>95.45</c:v>
                </c:pt>
                <c:pt idx="97">
                  <c:v>90.5</c:v>
                </c:pt>
                <c:pt idx="98">
                  <c:v>89.6</c:v>
                </c:pt>
                <c:pt idx="99">
                  <c:v>100.3</c:v>
                </c:pt>
                <c:pt idx="100">
                  <c:v>85.3</c:v>
                </c:pt>
                <c:pt idx="101">
                  <c:v>95.25</c:v>
                </c:pt>
                <c:pt idx="102">
                  <c:v>95.25</c:v>
                </c:pt>
                <c:pt idx="103">
                  <c:v>104.05</c:v>
                </c:pt>
                <c:pt idx="104">
                  <c:v>28.45</c:v>
                </c:pt>
                <c:pt idx="105">
                  <c:v>93.2</c:v>
                </c:pt>
                <c:pt idx="106">
                  <c:v>82.45</c:v>
                </c:pt>
                <c:pt idx="107">
                  <c:v>95.45</c:v>
                </c:pt>
                <c:pt idx="108">
                  <c:v>84.65</c:v>
                </c:pt>
                <c:pt idx="109">
                  <c:v>70.349999999999994</c:v>
                </c:pt>
                <c:pt idx="110">
                  <c:v>85</c:v>
                </c:pt>
                <c:pt idx="111">
                  <c:v>94.45</c:v>
                </c:pt>
                <c:pt idx="112">
                  <c:v>80.650000000000006</c:v>
                </c:pt>
                <c:pt idx="113">
                  <c:v>80.400000000000006</c:v>
                </c:pt>
                <c:pt idx="114">
                  <c:v>104.55</c:v>
                </c:pt>
                <c:pt idx="115">
                  <c:v>40.200000000000003</c:v>
                </c:pt>
                <c:pt idx="116">
                  <c:v>100.45</c:v>
                </c:pt>
                <c:pt idx="117">
                  <c:v>79.2</c:v>
                </c:pt>
                <c:pt idx="118">
                  <c:v>105.25</c:v>
                </c:pt>
                <c:pt idx="119">
                  <c:v>69.599999999999994</c:v>
                </c:pt>
                <c:pt idx="120">
                  <c:v>60.05</c:v>
                </c:pt>
                <c:pt idx="121">
                  <c:v>94.75</c:v>
                </c:pt>
                <c:pt idx="122">
                  <c:v>98.5</c:v>
                </c:pt>
                <c:pt idx="123">
                  <c:v>76.45</c:v>
                </c:pt>
                <c:pt idx="124">
                  <c:v>74.7</c:v>
                </c:pt>
                <c:pt idx="125">
                  <c:v>99.5</c:v>
                </c:pt>
                <c:pt idx="126">
                  <c:v>105.65</c:v>
                </c:pt>
                <c:pt idx="127">
                  <c:v>85.7</c:v>
                </c:pt>
                <c:pt idx="128">
                  <c:v>45.05</c:v>
                </c:pt>
                <c:pt idx="129">
                  <c:v>93.15</c:v>
                </c:pt>
                <c:pt idx="130">
                  <c:v>89.5</c:v>
                </c:pt>
                <c:pt idx="131">
                  <c:v>74.900000000000006</c:v>
                </c:pt>
                <c:pt idx="132">
                  <c:v>100</c:v>
                </c:pt>
                <c:pt idx="133">
                  <c:v>103.75</c:v>
                </c:pt>
                <c:pt idx="134">
                  <c:v>50.4</c:v>
                </c:pt>
                <c:pt idx="135">
                  <c:v>100.6</c:v>
                </c:pt>
                <c:pt idx="136">
                  <c:v>74.7</c:v>
                </c:pt>
                <c:pt idx="137">
                  <c:v>74.3</c:v>
                </c:pt>
                <c:pt idx="138">
                  <c:v>94.25</c:v>
                </c:pt>
                <c:pt idx="139">
                  <c:v>73.55</c:v>
                </c:pt>
                <c:pt idx="140">
                  <c:v>19.95</c:v>
                </c:pt>
                <c:pt idx="141">
                  <c:v>70.150000000000006</c:v>
                </c:pt>
                <c:pt idx="142">
                  <c:v>100.8</c:v>
                </c:pt>
                <c:pt idx="143">
                  <c:v>89.7</c:v>
                </c:pt>
                <c:pt idx="144">
                  <c:v>44.95</c:v>
                </c:pt>
                <c:pt idx="145">
                  <c:v>88.55</c:v>
                </c:pt>
                <c:pt idx="146">
                  <c:v>100.5</c:v>
                </c:pt>
                <c:pt idx="147">
                  <c:v>90.05</c:v>
                </c:pt>
                <c:pt idx="148">
                  <c:v>70.099999999999994</c:v>
                </c:pt>
                <c:pt idx="149">
                  <c:v>70.55</c:v>
                </c:pt>
              </c:numCache>
            </c:numRef>
          </c:xVal>
          <c:yVal>
            <c:numRef>
              <c:f>Dataset!$L$2:$L$151</c:f>
              <c:numCache>
                <c:formatCode>General</c:formatCode>
                <c:ptCount val="150"/>
                <c:pt idx="0">
                  <c:v>3475</c:v>
                </c:pt>
                <c:pt idx="1">
                  <c:v>4981</c:v>
                </c:pt>
                <c:pt idx="2">
                  <c:v>3561</c:v>
                </c:pt>
                <c:pt idx="3">
                  <c:v>5688</c:v>
                </c:pt>
                <c:pt idx="4">
                  <c:v>3106</c:v>
                </c:pt>
                <c:pt idx="5">
                  <c:v>4616</c:v>
                </c:pt>
                <c:pt idx="6">
                  <c:v>5597</c:v>
                </c:pt>
                <c:pt idx="7">
                  <c:v>5273</c:v>
                </c:pt>
                <c:pt idx="8">
                  <c:v>4829</c:v>
                </c:pt>
                <c:pt idx="9">
                  <c:v>3884</c:v>
                </c:pt>
                <c:pt idx="10">
                  <c:v>2403</c:v>
                </c:pt>
                <c:pt idx="11">
                  <c:v>3208</c:v>
                </c:pt>
                <c:pt idx="12">
                  <c:v>2666</c:v>
                </c:pt>
                <c:pt idx="13">
                  <c:v>2728</c:v>
                </c:pt>
                <c:pt idx="14">
                  <c:v>4287</c:v>
                </c:pt>
                <c:pt idx="15">
                  <c:v>3501</c:v>
                </c:pt>
                <c:pt idx="16">
                  <c:v>5136</c:v>
                </c:pt>
                <c:pt idx="17">
                  <c:v>4969</c:v>
                </c:pt>
                <c:pt idx="18">
                  <c:v>2467</c:v>
                </c:pt>
                <c:pt idx="19">
                  <c:v>5432</c:v>
                </c:pt>
                <c:pt idx="20">
                  <c:v>3266</c:v>
                </c:pt>
                <c:pt idx="21">
                  <c:v>2494</c:v>
                </c:pt>
                <c:pt idx="22">
                  <c:v>5172</c:v>
                </c:pt>
                <c:pt idx="23">
                  <c:v>2099</c:v>
                </c:pt>
                <c:pt idx="24">
                  <c:v>4778</c:v>
                </c:pt>
                <c:pt idx="25">
                  <c:v>5502</c:v>
                </c:pt>
                <c:pt idx="26">
                  <c:v>5337</c:v>
                </c:pt>
                <c:pt idx="27">
                  <c:v>5604</c:v>
                </c:pt>
                <c:pt idx="28">
                  <c:v>2818</c:v>
                </c:pt>
                <c:pt idx="29">
                  <c:v>3209</c:v>
                </c:pt>
                <c:pt idx="30">
                  <c:v>5717</c:v>
                </c:pt>
                <c:pt idx="31">
                  <c:v>5662</c:v>
                </c:pt>
                <c:pt idx="32">
                  <c:v>2074</c:v>
                </c:pt>
                <c:pt idx="33">
                  <c:v>4486</c:v>
                </c:pt>
                <c:pt idx="34">
                  <c:v>2230</c:v>
                </c:pt>
                <c:pt idx="35">
                  <c:v>3861</c:v>
                </c:pt>
                <c:pt idx="36">
                  <c:v>2833</c:v>
                </c:pt>
                <c:pt idx="37">
                  <c:v>4708</c:v>
                </c:pt>
                <c:pt idx="38">
                  <c:v>4113</c:v>
                </c:pt>
                <c:pt idx="39">
                  <c:v>4333</c:v>
                </c:pt>
                <c:pt idx="40">
                  <c:v>5573</c:v>
                </c:pt>
                <c:pt idx="41">
                  <c:v>2437</c:v>
                </c:pt>
                <c:pt idx="42">
                  <c:v>5419</c:v>
                </c:pt>
                <c:pt idx="43">
                  <c:v>4638</c:v>
                </c:pt>
                <c:pt idx="44">
                  <c:v>4038</c:v>
                </c:pt>
                <c:pt idx="45">
                  <c:v>4458</c:v>
                </c:pt>
                <c:pt idx="46">
                  <c:v>4054</c:v>
                </c:pt>
                <c:pt idx="47">
                  <c:v>2793</c:v>
                </c:pt>
                <c:pt idx="48">
                  <c:v>4739</c:v>
                </c:pt>
                <c:pt idx="49">
                  <c:v>5444</c:v>
                </c:pt>
                <c:pt idx="50">
                  <c:v>5444</c:v>
                </c:pt>
                <c:pt idx="51">
                  <c:v>5353</c:v>
                </c:pt>
                <c:pt idx="52">
                  <c:v>4371</c:v>
                </c:pt>
                <c:pt idx="53">
                  <c:v>4028</c:v>
                </c:pt>
                <c:pt idx="54">
                  <c:v>3438</c:v>
                </c:pt>
                <c:pt idx="55">
                  <c:v>2377</c:v>
                </c:pt>
                <c:pt idx="56">
                  <c:v>4902</c:v>
                </c:pt>
                <c:pt idx="57">
                  <c:v>4972</c:v>
                </c:pt>
                <c:pt idx="58">
                  <c:v>5001</c:v>
                </c:pt>
                <c:pt idx="59">
                  <c:v>6259</c:v>
                </c:pt>
                <c:pt idx="60">
                  <c:v>4777</c:v>
                </c:pt>
                <c:pt idx="61">
                  <c:v>2596</c:v>
                </c:pt>
                <c:pt idx="62">
                  <c:v>2018</c:v>
                </c:pt>
                <c:pt idx="63">
                  <c:v>2371</c:v>
                </c:pt>
                <c:pt idx="64">
                  <c:v>5745</c:v>
                </c:pt>
                <c:pt idx="65">
                  <c:v>3265</c:v>
                </c:pt>
                <c:pt idx="66">
                  <c:v>2482</c:v>
                </c:pt>
                <c:pt idx="67">
                  <c:v>2740</c:v>
                </c:pt>
                <c:pt idx="68">
                  <c:v>2065</c:v>
                </c:pt>
                <c:pt idx="69">
                  <c:v>3380</c:v>
                </c:pt>
                <c:pt idx="70">
                  <c:v>4819</c:v>
                </c:pt>
                <c:pt idx="71">
                  <c:v>2268</c:v>
                </c:pt>
                <c:pt idx="72">
                  <c:v>4517</c:v>
                </c:pt>
                <c:pt idx="73">
                  <c:v>5605</c:v>
                </c:pt>
                <c:pt idx="74">
                  <c:v>3110</c:v>
                </c:pt>
                <c:pt idx="75">
                  <c:v>4145</c:v>
                </c:pt>
                <c:pt idx="76">
                  <c:v>5913</c:v>
                </c:pt>
                <c:pt idx="77">
                  <c:v>3601</c:v>
                </c:pt>
                <c:pt idx="78">
                  <c:v>5980</c:v>
                </c:pt>
                <c:pt idx="79">
                  <c:v>3964</c:v>
                </c:pt>
                <c:pt idx="80">
                  <c:v>5301</c:v>
                </c:pt>
                <c:pt idx="81">
                  <c:v>3189</c:v>
                </c:pt>
                <c:pt idx="82">
                  <c:v>5676</c:v>
                </c:pt>
                <c:pt idx="83">
                  <c:v>2508</c:v>
                </c:pt>
                <c:pt idx="84">
                  <c:v>4193</c:v>
                </c:pt>
                <c:pt idx="85">
                  <c:v>5536</c:v>
                </c:pt>
                <c:pt idx="86">
                  <c:v>5683</c:v>
                </c:pt>
                <c:pt idx="87">
                  <c:v>4345</c:v>
                </c:pt>
                <c:pt idx="88">
                  <c:v>5849</c:v>
                </c:pt>
                <c:pt idx="89">
                  <c:v>2314</c:v>
                </c:pt>
                <c:pt idx="90">
                  <c:v>4317</c:v>
                </c:pt>
                <c:pt idx="91">
                  <c:v>2927</c:v>
                </c:pt>
                <c:pt idx="92">
                  <c:v>5808</c:v>
                </c:pt>
                <c:pt idx="93">
                  <c:v>5433</c:v>
                </c:pt>
                <c:pt idx="94">
                  <c:v>4499</c:v>
                </c:pt>
                <c:pt idx="95">
                  <c:v>5374</c:v>
                </c:pt>
                <c:pt idx="96">
                  <c:v>3677</c:v>
                </c:pt>
                <c:pt idx="97">
                  <c:v>5394</c:v>
                </c:pt>
                <c:pt idx="98">
                  <c:v>5651</c:v>
                </c:pt>
                <c:pt idx="99">
                  <c:v>5084</c:v>
                </c:pt>
                <c:pt idx="100">
                  <c:v>2712</c:v>
                </c:pt>
                <c:pt idx="101">
                  <c:v>3180</c:v>
                </c:pt>
                <c:pt idx="102">
                  <c:v>2982</c:v>
                </c:pt>
                <c:pt idx="103">
                  <c:v>4553</c:v>
                </c:pt>
                <c:pt idx="104">
                  <c:v>4099</c:v>
                </c:pt>
                <c:pt idx="105">
                  <c:v>5247</c:v>
                </c:pt>
                <c:pt idx="106">
                  <c:v>4149</c:v>
                </c:pt>
                <c:pt idx="107">
                  <c:v>3179</c:v>
                </c:pt>
                <c:pt idx="108">
                  <c:v>4871</c:v>
                </c:pt>
                <c:pt idx="109">
                  <c:v>2671</c:v>
                </c:pt>
                <c:pt idx="110">
                  <c:v>4584</c:v>
                </c:pt>
                <c:pt idx="111">
                  <c:v>3810</c:v>
                </c:pt>
                <c:pt idx="112">
                  <c:v>5302</c:v>
                </c:pt>
                <c:pt idx="113">
                  <c:v>3834</c:v>
                </c:pt>
                <c:pt idx="114">
                  <c:v>6268</c:v>
                </c:pt>
                <c:pt idx="115">
                  <c:v>5828</c:v>
                </c:pt>
                <c:pt idx="116">
                  <c:v>5508</c:v>
                </c:pt>
                <c:pt idx="117">
                  <c:v>4363</c:v>
                </c:pt>
                <c:pt idx="118">
                  <c:v>4196</c:v>
                </c:pt>
                <c:pt idx="119">
                  <c:v>3438</c:v>
                </c:pt>
                <c:pt idx="120">
                  <c:v>4716</c:v>
                </c:pt>
                <c:pt idx="121">
                  <c:v>2740</c:v>
                </c:pt>
                <c:pt idx="122">
                  <c:v>5137</c:v>
                </c:pt>
                <c:pt idx="123">
                  <c:v>4419</c:v>
                </c:pt>
                <c:pt idx="124">
                  <c:v>2803</c:v>
                </c:pt>
                <c:pt idx="125">
                  <c:v>4479</c:v>
                </c:pt>
                <c:pt idx="126">
                  <c:v>4687</c:v>
                </c:pt>
                <c:pt idx="127">
                  <c:v>4880</c:v>
                </c:pt>
                <c:pt idx="128">
                  <c:v>3797</c:v>
                </c:pt>
                <c:pt idx="129">
                  <c:v>2212</c:v>
                </c:pt>
                <c:pt idx="130">
                  <c:v>3077</c:v>
                </c:pt>
                <c:pt idx="131">
                  <c:v>4105</c:v>
                </c:pt>
                <c:pt idx="132">
                  <c:v>5679</c:v>
                </c:pt>
                <c:pt idx="133">
                  <c:v>5052</c:v>
                </c:pt>
                <c:pt idx="134">
                  <c:v>4795</c:v>
                </c:pt>
                <c:pt idx="135">
                  <c:v>5906</c:v>
                </c:pt>
                <c:pt idx="136">
                  <c:v>3348</c:v>
                </c:pt>
                <c:pt idx="137">
                  <c:v>2995</c:v>
                </c:pt>
                <c:pt idx="138">
                  <c:v>3369</c:v>
                </c:pt>
                <c:pt idx="139">
                  <c:v>4369</c:v>
                </c:pt>
                <c:pt idx="140">
                  <c:v>5888</c:v>
                </c:pt>
                <c:pt idx="141">
                  <c:v>2825</c:v>
                </c:pt>
                <c:pt idx="142">
                  <c:v>3128</c:v>
                </c:pt>
                <c:pt idx="143">
                  <c:v>2202</c:v>
                </c:pt>
                <c:pt idx="144">
                  <c:v>5900</c:v>
                </c:pt>
                <c:pt idx="145">
                  <c:v>3685</c:v>
                </c:pt>
                <c:pt idx="146">
                  <c:v>4745</c:v>
                </c:pt>
                <c:pt idx="147">
                  <c:v>5059</c:v>
                </c:pt>
                <c:pt idx="148">
                  <c:v>3669</c:v>
                </c:pt>
                <c:pt idx="149">
                  <c:v>2146</c:v>
                </c:pt>
              </c:numCache>
            </c:numRef>
          </c:yVal>
          <c:smooth val="0"/>
          <c:extLst>
            <c:ext xmlns:c16="http://schemas.microsoft.com/office/drawing/2014/chart" uri="{C3380CC4-5D6E-409C-BE32-E72D297353CC}">
              <c16:uniqueId val="{00000001-749B-4ABF-A73C-E5B6FF5711C7}"/>
            </c:ext>
          </c:extLst>
        </c:ser>
        <c:dLbls>
          <c:showLegendKey val="0"/>
          <c:showVal val="0"/>
          <c:showCatName val="0"/>
          <c:showSerName val="0"/>
          <c:showPercent val="0"/>
          <c:showBubbleSize val="0"/>
        </c:dLbls>
        <c:axId val="564228752"/>
        <c:axId val="564231152"/>
      </c:scatterChart>
      <c:valAx>
        <c:axId val="564228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 Subscription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231152"/>
        <c:crosses val="autoZero"/>
        <c:crossBetween val="midCat"/>
      </c:valAx>
      <c:valAx>
        <c:axId val="56423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Client LIiferime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2287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a:t>Customer Tenure Duration Distribution</a:t>
            </a:r>
            <a:endPar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endParaRPr>
          </a:p>
        </cx:rich>
      </cx:tx>
    </cx:title>
    <cx:plotArea>
      <cx:plotAreaRegion>
        <cx:series layoutId="clusteredColumn" uniqueId="{DBF17B8D-B1DB-4ECD-B5B1-72FAECBBD4A1}" formatIdx="0">
          <cx:dataLabels>
            <cx:visibility seriesName="0" categoryName="0" value="1"/>
          </cx:dataLabels>
          <cx:dataId val="0"/>
          <cx:layoutPr>
            <cx:binning intervalClosed="r" underflow="0" overflow="36"/>
          </cx:layoutPr>
        </cx:series>
        <cx:series layoutId="clusteredColumn" hidden="1" uniqueId="{901BEC9D-B835-49DB-862A-C7646191351A}" formatIdx="1">
          <cx:dataLabels>
            <cx:visibility seriesName="0" categoryName="0" value="1"/>
          </cx:dataLabels>
          <cx:dataId val="1"/>
          <cx:layoutPr>
            <cx:binning intervalClosed="r"/>
          </cx:layoutPr>
        </cx:series>
      </cx:plotAreaRegion>
      <cx:axis id="0">
        <cx:catScaling gapWidth="0"/>
        <cx:title>
          <cx:tx>
            <cx:rich>
              <a:bodyPr spcFirstLastPara="1" vertOverflow="ellipsis" horzOverflow="overflow" wrap="square" lIns="0" tIns="0" rIns="0" bIns="0" anchor="ctr" anchorCtr="1"/>
              <a:lstStyle/>
              <a:p>
                <a:pPr algn="ctr" rtl="0">
                  <a:defRPr/>
                </a:pPr>
                <a:r>
                  <a:rPr lang="en-US"/>
                  <a:t>Tenure (Months)</a:t>
                </a:r>
                <a:endParaRPr lang="en-US" sz="900" b="0" i="0" u="none" strike="noStrike" baseline="0">
                  <a:solidFill>
                    <a:sysClr val="window" lastClr="FFFFFF">
                      <a:lumMod val="95000"/>
                    </a:sysClr>
                  </a:solidFill>
                  <a:latin typeface="Calibri" panose="020F0502020204030204"/>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en-US"/>
                  <a:t>Number of Clients</a:t>
                </a:r>
                <a:endParaRPr lang="en-US" sz="900" b="0" i="0" u="none" strike="noStrike" baseline="0">
                  <a:solidFill>
                    <a:sysClr val="window" lastClr="FFFFFF">
                      <a:lumMod val="95000"/>
                    </a:sysClr>
                  </a:solidFill>
                  <a:latin typeface="Calibri" panose="020F0502020204030204"/>
                </a:endParaRPr>
              </a:p>
            </cx:rich>
          </cx:tx>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1174750</xdr:colOff>
      <xdr:row>17</xdr:row>
      <xdr:rowOff>175260</xdr:rowOff>
    </xdr:from>
    <xdr:to>
      <xdr:col>11</xdr:col>
      <xdr:colOff>48381</xdr:colOff>
      <xdr:row>30</xdr:row>
      <xdr:rowOff>175261</xdr:rowOff>
    </xdr:to>
    <xdr:graphicFrame macro="">
      <xdr:nvGraphicFramePr>
        <xdr:cNvPr id="14" name="Chart 13">
          <a:extLst>
            <a:ext uri="{FF2B5EF4-FFF2-40B4-BE49-F238E27FC236}">
              <a16:creationId xmlns:a16="http://schemas.microsoft.com/office/drawing/2014/main" id="{72820020-699B-13E6-D54A-90F2ACD24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4</xdr:row>
      <xdr:rowOff>0</xdr:rowOff>
    </xdr:from>
    <xdr:to>
      <xdr:col>9</xdr:col>
      <xdr:colOff>558233</xdr:colOff>
      <xdr:row>17</xdr:row>
      <xdr:rowOff>948</xdr:rowOff>
    </xdr:to>
    <mc:AlternateContent xmlns:mc="http://schemas.openxmlformats.org/markup-compatibility/2006" xmlns:a14="http://schemas.microsoft.com/office/drawing/2010/main">
      <mc:Choice Requires="a14">
        <xdr:graphicFrame macro="">
          <xdr:nvGraphicFramePr>
            <xdr:cNvPr id="8" name="Subscription Charges by Region">
              <a:extLst>
                <a:ext uri="{FF2B5EF4-FFF2-40B4-BE49-F238E27FC236}">
                  <a16:creationId xmlns:a16="http://schemas.microsoft.com/office/drawing/2014/main" id="{4CEBD486-25A9-182E-A67C-FE0A7800150F}"/>
                </a:ext>
              </a:extLst>
            </xdr:cNvPr>
            <xdr:cNvGraphicFramePr/>
          </xdr:nvGraphicFramePr>
          <xdr:xfrm>
            <a:off x="0" y="0"/>
            <a:ext cx="0" cy="0"/>
          </xdr:xfrm>
          <a:graphic>
            <a:graphicData uri="http://schemas.microsoft.com/office/drawing/2010/slicer">
              <sle:slicer xmlns:sle="http://schemas.microsoft.com/office/drawing/2010/slicer" name="Subscription Charges by Region"/>
            </a:graphicData>
          </a:graphic>
        </xdr:graphicFrame>
      </mc:Choice>
      <mc:Fallback xmlns="">
        <xdr:sp macro="" textlink="">
          <xdr:nvSpPr>
            <xdr:cNvPr id="0" name=""/>
            <xdr:cNvSpPr>
              <a:spLocks noTextEdit="1"/>
            </xdr:cNvSpPr>
          </xdr:nvSpPr>
          <xdr:spPr>
            <a:xfrm>
              <a:off x="7856220" y="0"/>
              <a:ext cx="258318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731520</xdr:colOff>
      <xdr:row>18</xdr:row>
      <xdr:rowOff>1</xdr:rowOff>
    </xdr:from>
    <xdr:to>
      <xdr:col>5</xdr:col>
      <xdr:colOff>1149014</xdr:colOff>
      <xdr:row>31</xdr:row>
      <xdr:rowOff>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5015C28C-5826-5F69-0832-E4FA3D23CE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29000" y="2560321"/>
              <a:ext cx="332232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5201</xdr:colOff>
      <xdr:row>4</xdr:row>
      <xdr:rowOff>0</xdr:rowOff>
    </xdr:from>
    <xdr:to>
      <xdr:col>12</xdr:col>
      <xdr:colOff>1005416</xdr:colOff>
      <xdr:row>17</xdr:row>
      <xdr:rowOff>0</xdr:rowOff>
    </xdr:to>
    <xdr:graphicFrame macro="">
      <xdr:nvGraphicFramePr>
        <xdr:cNvPr id="13" name="Chart 12">
          <a:extLst>
            <a:ext uri="{FF2B5EF4-FFF2-40B4-BE49-F238E27FC236}">
              <a16:creationId xmlns:a16="http://schemas.microsoft.com/office/drawing/2014/main" id="{549E3139-5A4E-E82F-ED42-C3BB6FD2D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32</xdr:row>
      <xdr:rowOff>7621</xdr:rowOff>
    </xdr:from>
    <xdr:to>
      <xdr:col>4</xdr:col>
      <xdr:colOff>126384</xdr:colOff>
      <xdr:row>39</xdr:row>
      <xdr:rowOff>144780</xdr:rowOff>
    </xdr:to>
    <mc:AlternateContent xmlns:mc="http://schemas.openxmlformats.org/markup-compatibility/2006" xmlns:a14="http://schemas.microsoft.com/office/drawing/2010/main">
      <mc:Choice Requires="a14">
        <xdr:graphicFrame macro="">
          <xdr:nvGraphicFramePr>
            <xdr:cNvPr id="15" name="AI Adoption Level">
              <a:extLst>
                <a:ext uri="{FF2B5EF4-FFF2-40B4-BE49-F238E27FC236}">
                  <a16:creationId xmlns:a16="http://schemas.microsoft.com/office/drawing/2014/main" id="{7CD18DBF-682A-CE5E-E9CA-3857A27E68DE}"/>
                </a:ext>
              </a:extLst>
            </xdr:cNvPr>
            <xdr:cNvGraphicFramePr/>
          </xdr:nvGraphicFramePr>
          <xdr:xfrm>
            <a:off x="0" y="0"/>
            <a:ext cx="0" cy="0"/>
          </xdr:xfrm>
          <a:graphic>
            <a:graphicData uri="http://schemas.microsoft.com/office/drawing/2010/slicer">
              <sle:slicer xmlns:sle="http://schemas.microsoft.com/office/drawing/2010/slicer" name="AI Adoption Level"/>
            </a:graphicData>
          </a:graphic>
        </xdr:graphicFrame>
      </mc:Choice>
      <mc:Fallback xmlns="">
        <xdr:sp macro="" textlink="">
          <xdr:nvSpPr>
            <xdr:cNvPr id="0" name=""/>
            <xdr:cNvSpPr>
              <a:spLocks noTextEdit="1"/>
            </xdr:cNvSpPr>
          </xdr:nvSpPr>
          <xdr:spPr>
            <a:xfrm>
              <a:off x="2697480" y="5128261"/>
              <a:ext cx="182880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274321</xdr:colOff>
      <xdr:row>31</xdr:row>
      <xdr:rowOff>175261</xdr:rowOff>
    </xdr:from>
    <xdr:to>
      <xdr:col>8</xdr:col>
      <xdr:colOff>910168</xdr:colOff>
      <xdr:row>39</xdr:row>
      <xdr:rowOff>144781</xdr:rowOff>
    </xdr:to>
    <xdr:graphicFrame macro="">
      <xdr:nvGraphicFramePr>
        <xdr:cNvPr id="16" name="Chart 15">
          <a:extLst>
            <a:ext uri="{FF2B5EF4-FFF2-40B4-BE49-F238E27FC236}">
              <a16:creationId xmlns:a16="http://schemas.microsoft.com/office/drawing/2014/main" id="{7F09BF4F-D16C-B59C-D0A8-49A24E779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33</xdr:row>
      <xdr:rowOff>0</xdr:rowOff>
    </xdr:from>
    <xdr:to>
      <xdr:col>12</xdr:col>
      <xdr:colOff>1160220</xdr:colOff>
      <xdr:row>40</xdr:row>
      <xdr:rowOff>0</xdr:rowOff>
    </xdr:to>
    <mc:AlternateContent xmlns:mc="http://schemas.openxmlformats.org/markup-compatibility/2006" xmlns:a14="http://schemas.microsoft.com/office/drawing/2010/main">
      <mc:Choice Requires="a14">
        <xdr:graphicFrame macro="">
          <xdr:nvGraphicFramePr>
            <xdr:cNvPr id="22" name="Industry Sector">
              <a:extLst>
                <a:ext uri="{FF2B5EF4-FFF2-40B4-BE49-F238E27FC236}">
                  <a16:creationId xmlns:a16="http://schemas.microsoft.com/office/drawing/2014/main" id="{06EA1EBD-B4F1-47E3-9763-866A21869BE1}"/>
                </a:ext>
              </a:extLst>
            </xdr:cNvPr>
            <xdr:cNvGraphicFramePr/>
          </xdr:nvGraphicFramePr>
          <xdr:xfrm>
            <a:off x="0" y="0"/>
            <a:ext cx="0" cy="0"/>
          </xdr:xfrm>
          <a:graphic>
            <a:graphicData uri="http://schemas.microsoft.com/office/drawing/2010/slicer">
              <sle:slicer xmlns:sle="http://schemas.microsoft.com/office/drawing/2010/slicer" name="Industry Sector"/>
            </a:graphicData>
          </a:graphic>
        </xdr:graphicFrame>
      </mc:Choice>
      <mc:Fallback xmlns="">
        <xdr:sp macro="" textlink="">
          <xdr:nvSpPr>
            <xdr:cNvPr id="0" name=""/>
            <xdr:cNvSpPr>
              <a:spLocks noTextEdit="1"/>
            </xdr:cNvSpPr>
          </xdr:nvSpPr>
          <xdr:spPr>
            <a:xfrm>
              <a:off x="15418340" y="5885234"/>
              <a:ext cx="1824944" cy="12483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33</xdr:row>
      <xdr:rowOff>0</xdr:rowOff>
    </xdr:from>
    <xdr:to>
      <xdr:col>15</xdr:col>
      <xdr:colOff>1852569</xdr:colOff>
      <xdr:row>40</xdr:row>
      <xdr:rowOff>0</xdr:rowOff>
    </xdr:to>
    <xdr:graphicFrame macro="">
      <xdr:nvGraphicFramePr>
        <xdr:cNvPr id="23" name="Chart 22">
          <a:extLst>
            <a:ext uri="{FF2B5EF4-FFF2-40B4-BE49-F238E27FC236}">
              <a16:creationId xmlns:a16="http://schemas.microsoft.com/office/drawing/2014/main" id="{C0345A0A-5CC5-4348-8E7E-06283698C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4</xdr:row>
      <xdr:rowOff>0</xdr:rowOff>
    </xdr:from>
    <xdr:to>
      <xdr:col>15</xdr:col>
      <xdr:colOff>1829558</xdr:colOff>
      <xdr:row>16</xdr:row>
      <xdr:rowOff>4264</xdr:rowOff>
    </xdr:to>
    <mc:AlternateContent xmlns:mc="http://schemas.openxmlformats.org/markup-compatibility/2006" xmlns:a14="http://schemas.microsoft.com/office/drawing/2010/main">
      <mc:Choice Requires="a14">
        <xdr:graphicFrame macro="">
          <xdr:nvGraphicFramePr>
            <xdr:cNvPr id="24" name="Region 1">
              <a:extLst>
                <a:ext uri="{FF2B5EF4-FFF2-40B4-BE49-F238E27FC236}">
                  <a16:creationId xmlns:a16="http://schemas.microsoft.com/office/drawing/2014/main" id="{AD883F5B-45F7-4F8E-AA57-D76E2209B6A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022766" y="713362"/>
              <a:ext cx="1829558" cy="21443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4</xdr:row>
      <xdr:rowOff>0</xdr:rowOff>
    </xdr:from>
    <xdr:to>
      <xdr:col>21</xdr:col>
      <xdr:colOff>534004</xdr:colOff>
      <xdr:row>16</xdr:row>
      <xdr:rowOff>0</xdr:rowOff>
    </xdr:to>
    <xdr:graphicFrame macro="">
      <xdr:nvGraphicFramePr>
        <xdr:cNvPr id="25" name="Chart 24">
          <a:extLst>
            <a:ext uri="{FF2B5EF4-FFF2-40B4-BE49-F238E27FC236}">
              <a16:creationId xmlns:a16="http://schemas.microsoft.com/office/drawing/2014/main" id="{F80BFC3E-640D-4827-B537-85A4E6432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0</xdr:colOff>
      <xdr:row>18</xdr:row>
      <xdr:rowOff>0</xdr:rowOff>
    </xdr:from>
    <xdr:to>
      <xdr:col>15</xdr:col>
      <xdr:colOff>1829558</xdr:colOff>
      <xdr:row>32</xdr:row>
      <xdr:rowOff>21409</xdr:rowOff>
    </xdr:to>
    <mc:AlternateContent xmlns:mc="http://schemas.openxmlformats.org/markup-compatibility/2006" xmlns:a14="http://schemas.microsoft.com/office/drawing/2010/main">
      <mc:Choice Requires="a14">
        <xdr:graphicFrame macro="">
          <xdr:nvGraphicFramePr>
            <xdr:cNvPr id="26" name="Months (Date Joined)">
              <a:extLst>
                <a:ext uri="{FF2B5EF4-FFF2-40B4-BE49-F238E27FC236}">
                  <a16:creationId xmlns:a16="http://schemas.microsoft.com/office/drawing/2014/main" id="{83C36DC2-578D-4B13-84E0-D439A3248FCF}"/>
                </a:ext>
              </a:extLst>
            </xdr:cNvPr>
            <xdr:cNvGraphicFramePr/>
          </xdr:nvGraphicFramePr>
          <xdr:xfrm>
            <a:off x="0" y="0"/>
            <a:ext cx="0" cy="0"/>
          </xdr:xfrm>
          <a:graphic>
            <a:graphicData uri="http://schemas.microsoft.com/office/drawing/2010/slicer">
              <sle:slicer xmlns:sle="http://schemas.microsoft.com/office/drawing/2010/slicer" name="Months (Date Joined)"/>
            </a:graphicData>
          </a:graphic>
        </xdr:graphicFrame>
      </mc:Choice>
      <mc:Fallback xmlns="">
        <xdr:sp macro="" textlink="">
          <xdr:nvSpPr>
            <xdr:cNvPr id="0" name=""/>
            <xdr:cNvSpPr>
              <a:spLocks noTextEdit="1"/>
            </xdr:cNvSpPr>
          </xdr:nvSpPr>
          <xdr:spPr>
            <a:xfrm>
              <a:off x="20022766" y="3210128"/>
              <a:ext cx="1829558" cy="25181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18</xdr:row>
      <xdr:rowOff>0</xdr:rowOff>
    </xdr:from>
    <xdr:to>
      <xdr:col>21</xdr:col>
      <xdr:colOff>550574</xdr:colOff>
      <xdr:row>32</xdr:row>
      <xdr:rowOff>29029</xdr:rowOff>
    </xdr:to>
    <xdr:graphicFrame macro="">
      <xdr:nvGraphicFramePr>
        <xdr:cNvPr id="27" name="Chart 26">
          <a:extLst>
            <a:ext uri="{FF2B5EF4-FFF2-40B4-BE49-F238E27FC236}">
              <a16:creationId xmlns:a16="http://schemas.microsoft.com/office/drawing/2014/main" id="{F152AADF-1240-4473-88CF-EBA48387C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0</xdr:colOff>
      <xdr:row>40</xdr:row>
      <xdr:rowOff>1</xdr:rowOff>
    </xdr:from>
    <xdr:to>
      <xdr:col>12</xdr:col>
      <xdr:colOff>1160220</xdr:colOff>
      <xdr:row>52</xdr:row>
      <xdr:rowOff>25830</xdr:rowOff>
    </xdr:to>
    <mc:AlternateContent xmlns:mc="http://schemas.openxmlformats.org/markup-compatibility/2006" xmlns:a14="http://schemas.microsoft.com/office/drawing/2010/main">
      <mc:Choice Requires="a14">
        <xdr:graphicFrame macro="">
          <xdr:nvGraphicFramePr>
            <xdr:cNvPr id="28" name="Industry Sector 1">
              <a:extLst>
                <a:ext uri="{FF2B5EF4-FFF2-40B4-BE49-F238E27FC236}">
                  <a16:creationId xmlns:a16="http://schemas.microsoft.com/office/drawing/2014/main" id="{CC9077FC-C0F7-40F1-9CC5-99705728A791}"/>
                </a:ext>
              </a:extLst>
            </xdr:cNvPr>
            <xdr:cNvGraphicFramePr/>
          </xdr:nvGraphicFramePr>
          <xdr:xfrm>
            <a:off x="0" y="0"/>
            <a:ext cx="0" cy="0"/>
          </xdr:xfrm>
          <a:graphic>
            <a:graphicData uri="http://schemas.microsoft.com/office/drawing/2010/slicer">
              <sle:slicer xmlns:sle="http://schemas.microsoft.com/office/drawing/2010/slicer" name="Industry Sector 1"/>
            </a:graphicData>
          </a:graphic>
        </xdr:graphicFrame>
      </mc:Choice>
      <mc:Fallback xmlns="">
        <xdr:sp macro="" textlink="">
          <xdr:nvSpPr>
            <xdr:cNvPr id="0" name=""/>
            <xdr:cNvSpPr>
              <a:spLocks noTextEdit="1"/>
            </xdr:cNvSpPr>
          </xdr:nvSpPr>
          <xdr:spPr>
            <a:xfrm>
              <a:off x="15418340" y="7133618"/>
              <a:ext cx="1824944" cy="21659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40</xdr:row>
      <xdr:rowOff>0</xdr:rowOff>
    </xdr:from>
    <xdr:to>
      <xdr:col>16</xdr:col>
      <xdr:colOff>12915</xdr:colOff>
      <xdr:row>52</xdr:row>
      <xdr:rowOff>15240</xdr:rowOff>
    </xdr:to>
    <xdr:graphicFrame macro="">
      <xdr:nvGraphicFramePr>
        <xdr:cNvPr id="29" name="Chart 28">
          <a:extLst>
            <a:ext uri="{FF2B5EF4-FFF2-40B4-BE49-F238E27FC236}">
              <a16:creationId xmlns:a16="http://schemas.microsoft.com/office/drawing/2014/main" id="{389B2A13-F6E7-4D0A-BDF0-F4A6D7F69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40</xdr:row>
      <xdr:rowOff>180812</xdr:rowOff>
    </xdr:from>
    <xdr:to>
      <xdr:col>3</xdr:col>
      <xdr:colOff>180814</xdr:colOff>
      <xdr:row>56</xdr:row>
      <xdr:rowOff>12914</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8A5672E3-E8AB-4584-B549-82281B09DB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0" y="7183592"/>
              <a:ext cx="5141434" cy="264388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245390</xdr:colOff>
      <xdr:row>41</xdr:row>
      <xdr:rowOff>12916</xdr:rowOff>
    </xdr:from>
    <xdr:to>
      <xdr:col>8</xdr:col>
      <xdr:colOff>452674</xdr:colOff>
      <xdr:row>56</xdr:row>
      <xdr:rowOff>52244</xdr:rowOff>
    </xdr:to>
    <xdr:graphicFrame macro="">
      <xdr:nvGraphicFramePr>
        <xdr:cNvPr id="32" name="Chart 31">
          <a:extLst>
            <a:ext uri="{FF2B5EF4-FFF2-40B4-BE49-F238E27FC236}">
              <a16:creationId xmlns:a16="http://schemas.microsoft.com/office/drawing/2014/main" id="{6251469E-0ECF-408F-A2C7-0A9439FA1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21167</xdr:colOff>
      <xdr:row>0</xdr:row>
      <xdr:rowOff>105835</xdr:rowOff>
    </xdr:from>
    <xdr:to>
      <xdr:col>10</xdr:col>
      <xdr:colOff>1322917</xdr:colOff>
      <xdr:row>3</xdr:row>
      <xdr:rowOff>63501</xdr:rowOff>
    </xdr:to>
    <xdr:sp macro="" textlink="">
      <xdr:nvSpPr>
        <xdr:cNvPr id="33" name="TextBox 32">
          <a:extLst>
            <a:ext uri="{FF2B5EF4-FFF2-40B4-BE49-F238E27FC236}">
              <a16:creationId xmlns:a16="http://schemas.microsoft.com/office/drawing/2014/main" id="{CAAC2B82-41DC-C738-5BFB-7E5B6485C7DF}"/>
            </a:ext>
          </a:extLst>
        </xdr:cNvPr>
        <xdr:cNvSpPr txBox="1"/>
      </xdr:nvSpPr>
      <xdr:spPr>
        <a:xfrm>
          <a:off x="7016750" y="105835"/>
          <a:ext cx="6709834" cy="497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t>IBM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Faraz" refreshedDate="45816.732082754628" createdVersion="8" refreshedVersion="8" minRefreshableVersion="3" recordCount="150" xr:uid="{88027F0B-CBF6-49F6-BD0F-578EB9EE79AA}">
  <cacheSource type="worksheet">
    <worksheetSource ref="A1:U151" sheet="Dataset"/>
  </cacheSource>
  <cacheFields count="20">
    <cacheField name="Customer Age" numFmtId="0">
      <sharedItems containsSemiMixedTypes="0" containsString="0" containsNumber="1" containsInteger="1" minValue="65" maxValue="80" count="16">
        <n v="78"/>
        <n v="74"/>
        <n v="71"/>
        <n v="80"/>
        <n v="72"/>
        <n v="76"/>
        <n v="66"/>
        <n v="70"/>
        <n v="77"/>
        <n v="65"/>
        <n v="67"/>
        <n v="68"/>
        <n v="69"/>
        <n v="79"/>
        <n v="75"/>
        <n v="73"/>
      </sharedItems>
    </cacheField>
    <cacheField name="Region" numFmtId="0">
      <sharedItems count="10">
        <s v="Islamabad - IBM HQ"/>
        <s v="New York - US East"/>
        <s v="London - UK Branch"/>
        <s v="Lahore - Punjab Region"/>
        <s v="Karachi - South Asia"/>
        <s v="Sydney - Australia Pacific"/>
        <s v="Dubai - Middle East Hub"/>
        <s v="Berlin - EU Central"/>
        <s v="Toronto - Canada East"/>
        <s v="San Francisco - US West"/>
      </sharedItems>
    </cacheField>
    <cacheField name="Tenure (Months)" numFmtId="0">
      <sharedItems containsSemiMixedTypes="0" containsString="0" containsNumber="1" containsInteger="1" minValue="1" maxValue="69"/>
    </cacheField>
    <cacheField name="Monthly Subscription ($)" numFmtId="0">
      <sharedItems containsSemiMixedTypes="0" containsString="0" containsNumber="1" minValue="19.649999999999999" maxValue="113.2"/>
    </cacheField>
    <cacheField name="Total Subscription Charges ($)" numFmtId="0">
      <sharedItems containsSemiMixedTypes="0" containsString="0" containsNumber="1" minValue="25.2" maxValue="7318.2"/>
    </cacheField>
    <cacheField name="Total IBM Revenue Contribution ($)" numFmtId="0">
      <sharedItems containsSemiMixedTypes="0" containsString="0" containsNumber="1" minValue="25.2" maxValue="10690.92"/>
    </cacheField>
    <cacheField name="Client Satisfaction Score" numFmtId="0">
      <sharedItems containsSemiMixedTypes="0" containsString="0" containsNumber="1" containsInteger="1" minValue="1" maxValue="3" count="3">
        <n v="3"/>
        <n v="2"/>
        <n v="1"/>
      </sharedItems>
    </cacheField>
    <cacheField name="Churned (Yes/No)" numFmtId="0">
      <sharedItems count="2">
        <s v="No"/>
        <s v="Yes"/>
      </sharedItems>
    </cacheField>
    <cacheField name="Client Risk Score" numFmtId="0">
      <sharedItems containsSemiMixedTypes="0" containsString="0" containsNumber="1" containsInteger="1" minValue="65" maxValue="96"/>
    </cacheField>
    <cacheField name="Predicted Client Lifetime Value ($)" numFmtId="0">
      <sharedItems containsSemiMixedTypes="0" containsString="0" containsNumber="1" containsInteger="1" minValue="2018" maxValue="6268"/>
    </cacheField>
    <cacheField name="Cloud Platform Used" numFmtId="0">
      <sharedItems/>
    </cacheField>
    <cacheField name="AI Adoption Level" numFmtId="0">
      <sharedItems count="3">
        <s v="High"/>
        <s v="Low"/>
        <s v="Medium"/>
      </sharedItems>
    </cacheField>
    <cacheField name="Industry Sector" numFmtId="0">
      <sharedItems count="5">
        <s v="Healthcare"/>
        <s v="Retail"/>
        <s v="Finance"/>
        <s v="Government"/>
        <s v="Technology"/>
      </sharedItems>
    </cacheField>
    <cacheField name="Data Compliance Status" numFmtId="0">
      <sharedItems/>
    </cacheField>
    <cacheField name="Bias Risk Score" numFmtId="0">
      <sharedItems containsSemiMixedTypes="0" containsString="0" containsNumber="1" containsInteger="1" minValue="1" maxValue="5"/>
    </cacheField>
    <cacheField name="Data Security Level" numFmtId="0">
      <sharedItems/>
    </cacheField>
    <cacheField name="Analytics Tool Used" numFmtId="0">
      <sharedItems/>
    </cacheField>
    <cacheField name="Visualization Effectiveness Score" numFmtId="0">
      <sharedItems containsSemiMixedTypes="0" containsString="0" containsNumber="1" containsInteger="1" minValue="1" maxValue="10"/>
    </cacheField>
    <cacheField name="Cluster Group" numFmtId="0">
      <sharedItems containsSemiMixedTypes="0" containsString="0" containsNumber="1" containsInteger="1" minValue="0" maxValue="2"/>
    </cacheField>
    <cacheField name="Low Sat &amp; High Risk" numFmtId="0">
      <sharedItems/>
    </cacheField>
  </cacheFields>
  <extLst>
    <ext xmlns:x14="http://schemas.microsoft.com/office/spreadsheetml/2009/9/main" uri="{725AE2AE-9491-48be-B2B4-4EB974FC3084}">
      <x14:pivotCacheDefinition pivotCacheId="4575873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Faraz" refreshedDate="45818.026130902777" createdVersion="8" refreshedVersion="8" minRefreshableVersion="3" recordCount="150" xr:uid="{932DEC36-14B2-47BB-96C0-081440F489EE}">
  <cacheSource type="worksheet">
    <worksheetSource name="Table"/>
  </cacheSource>
  <cacheFields count="24">
    <cacheField name="Customer Age" numFmtId="0">
      <sharedItems containsSemiMixedTypes="0" containsString="0" containsNumber="1" containsInteger="1" minValue="20" maxValue="40" count="21">
        <n v="38"/>
        <n v="29"/>
        <n v="28"/>
        <n v="37"/>
        <n v="30"/>
        <n v="33"/>
        <n v="35"/>
        <n v="26"/>
        <n v="25"/>
        <n v="32"/>
        <n v="36"/>
        <n v="24"/>
        <n v="21"/>
        <n v="31"/>
        <n v="39"/>
        <n v="40"/>
        <n v="23"/>
        <n v="20"/>
        <n v="27"/>
        <n v="22"/>
        <n v="34"/>
      </sharedItems>
    </cacheField>
    <cacheField name="Region" numFmtId="0">
      <sharedItems count="10">
        <s v="Islamabad - IBM HQ"/>
        <s v="London - UK Branch"/>
        <s v="Sydney - Australia Pacific"/>
        <s v="New York - US East"/>
        <s v="Toronto - Canada East"/>
        <s v="Berlin - EU Central"/>
        <s v="San Francisco - US West"/>
        <s v="Karachi - South Asia"/>
        <s v="Dubai - Middle East Hub"/>
        <s v="Lahore - Punjab Region"/>
      </sharedItems>
    </cacheField>
    <cacheField name="Date Joined" numFmtId="14">
      <sharedItems containsSemiMixedTypes="0" containsNonDate="0" containsDate="1" containsString="0" minDate="2020-01-09T00:00:00" maxDate="2021-12-20T00:00:00" count="134">
        <d v="2021-02-11T00:00:00"/>
        <d v="2020-11-14T00:00:00"/>
        <d v="2020-10-04T00:00:00"/>
        <d v="2021-06-28T00:00:00"/>
        <d v="2021-12-19T00:00:00"/>
        <d v="2021-02-07T00:00:00"/>
        <d v="2020-02-22T00:00:00"/>
        <d v="2021-08-19T00:00:00"/>
        <d v="2020-06-12T00:00:00"/>
        <d v="2021-02-16T00:00:00"/>
        <d v="2021-03-07T00:00:00"/>
        <d v="2021-11-08T00:00:00"/>
        <d v="2020-07-15T00:00:00"/>
        <d v="2020-11-08T00:00:00"/>
        <d v="2020-09-12T00:00:00"/>
        <d v="2021-03-13T00:00:00"/>
        <d v="2021-11-05T00:00:00"/>
        <d v="2021-08-22T00:00:00"/>
        <d v="2020-10-20T00:00:00"/>
        <d v="2020-09-16T00:00:00"/>
        <d v="2020-10-22T00:00:00"/>
        <d v="2021-09-10T00:00:00"/>
        <d v="2020-12-15T00:00:00"/>
        <d v="2021-03-11T00:00:00"/>
        <d v="2020-03-09T00:00:00"/>
        <d v="2021-10-26T00:00:00"/>
        <d v="2020-06-08T00:00:00"/>
        <d v="2020-05-05T00:00:00"/>
        <d v="2020-01-10T00:00:00"/>
        <d v="2020-12-18T00:00:00"/>
        <d v="2020-05-15T00:00:00"/>
        <d v="2021-11-11T00:00:00"/>
        <d v="2021-05-18T00:00:00"/>
        <d v="2021-02-13T00:00:00"/>
        <d v="2020-10-21T00:00:00"/>
        <d v="2020-11-28T00:00:00"/>
        <d v="2021-07-02T00:00:00"/>
        <d v="2021-01-02T00:00:00"/>
        <d v="2021-11-02T00:00:00"/>
        <d v="2021-04-02T00:00:00"/>
        <d v="2021-01-11T00:00:00"/>
        <d v="2021-06-02T00:00:00"/>
        <d v="2020-09-25T00:00:00"/>
        <d v="2021-05-12T00:00:00"/>
        <d v="2021-10-05T00:00:00"/>
        <d v="2021-07-14T00:00:00"/>
        <d v="2021-03-05T00:00:00"/>
        <d v="2021-03-12T00:00:00"/>
        <d v="2020-11-23T00:00:00"/>
        <d v="2021-03-18T00:00:00"/>
        <d v="2020-01-09T00:00:00"/>
        <d v="2021-05-13T00:00:00"/>
        <d v="2020-04-05T00:00:00"/>
        <d v="2020-09-17T00:00:00"/>
        <d v="2021-09-14T00:00:00"/>
        <d v="2021-04-26T00:00:00"/>
        <d v="2020-04-08T00:00:00"/>
        <d v="2020-02-07T00:00:00"/>
        <d v="2020-08-23T00:00:00"/>
        <d v="2021-05-21T00:00:00"/>
        <d v="2020-10-17T00:00:00"/>
        <d v="2021-03-21T00:00:00"/>
        <d v="2020-02-16T00:00:00"/>
        <d v="2021-04-27T00:00:00"/>
        <d v="2021-11-04T00:00:00"/>
        <d v="2021-06-12T00:00:00"/>
        <d v="2020-04-27T00:00:00"/>
        <d v="2021-05-22T00:00:00"/>
        <d v="2020-11-25T00:00:00"/>
        <d v="2020-04-20T00:00:00"/>
        <d v="2021-07-11T00:00:00"/>
        <d v="2020-05-18T00:00:00"/>
        <d v="2021-09-08T00:00:00"/>
        <d v="2020-05-11T00:00:00"/>
        <d v="2021-12-16T00:00:00"/>
        <d v="2021-03-26T00:00:00"/>
        <d v="2020-03-01T00:00:00"/>
        <d v="2021-02-15T00:00:00"/>
        <d v="2021-03-16T00:00:00"/>
        <d v="2020-11-15T00:00:00"/>
        <d v="2020-09-01T00:00:00"/>
        <d v="2020-03-02T00:00:00"/>
        <d v="2020-12-10T00:00:00"/>
        <d v="2021-09-23T00:00:00"/>
        <d v="2021-11-19T00:00:00"/>
        <d v="2021-09-11T00:00:00"/>
        <d v="2020-06-24T00:00:00"/>
        <d v="2020-08-19T00:00:00"/>
        <d v="2021-10-27T00:00:00"/>
        <d v="2020-05-25T00:00:00"/>
        <d v="2021-10-02T00:00:00"/>
        <d v="2021-05-19T00:00:00"/>
        <d v="2021-01-19T00:00:00"/>
        <d v="2021-10-01T00:00:00"/>
        <d v="2020-07-12T00:00:00"/>
        <d v="2020-02-10T00:00:00"/>
        <d v="2020-09-07T00:00:00"/>
        <d v="2021-08-27T00:00:00"/>
        <d v="2020-04-12T00:00:00"/>
        <d v="2021-10-28T00:00:00"/>
        <d v="2020-10-13T00:00:00"/>
        <d v="2021-05-05T00:00:00"/>
        <d v="2021-06-25T00:00:00"/>
        <d v="2020-09-13T00:00:00"/>
        <d v="2021-12-14T00:00:00"/>
        <d v="2020-10-09T00:00:00"/>
        <d v="2021-05-08T00:00:00"/>
        <d v="2021-12-01T00:00:00"/>
        <d v="2020-06-05T00:00:00"/>
        <d v="2020-10-23T00:00:00"/>
        <d v="2021-06-16T00:00:00"/>
        <d v="2020-11-27T00:00:00"/>
        <d v="2021-01-22T00:00:00"/>
        <d v="2021-08-03T00:00:00"/>
        <d v="2020-06-28T00:00:00"/>
        <d v="2021-01-12T00:00:00"/>
        <d v="2021-04-17T00:00:00"/>
        <d v="2021-11-03T00:00:00"/>
        <d v="2020-10-02T00:00:00"/>
        <d v="2020-03-20T00:00:00"/>
        <d v="2021-11-23T00:00:00"/>
        <d v="2020-06-11T00:00:00"/>
        <d v="2020-11-21T00:00:00"/>
        <d v="2020-04-18T00:00:00"/>
        <d v="2021-10-22T00:00:00"/>
        <d v="2021-05-02T00:00:00"/>
        <d v="2021-08-15T00:00:00"/>
        <d v="2020-07-03T00:00:00"/>
        <d v="2020-03-23T00:00:00"/>
        <d v="2020-05-27T00:00:00"/>
        <d v="2021-08-28T00:00:00"/>
        <d v="2021-03-02T00:00:00"/>
        <d v="2020-11-01T00:00:00"/>
        <d v="2020-07-06T00:00:00"/>
      </sharedItems>
      <fieldGroup par="23"/>
    </cacheField>
    <cacheField name="End Date" numFmtId="14">
      <sharedItems containsSemiMixedTypes="0" containsNonDate="0" containsDate="1" containsString="0" minDate="2021-12-02T00:00:00" maxDate="2022-01-02T00:00:00"/>
    </cacheField>
    <cacheField name="Monthly Subscription ($)" numFmtId="0">
      <sharedItems containsSemiMixedTypes="0" containsString="0" containsNumber="1" minValue="19.649999999999999" maxValue="113.2"/>
    </cacheField>
    <cacheField name="Tenure (Months)" numFmtId="0">
      <sharedItems containsSemiMixedTypes="0" containsString="0" containsNumber="1" containsInteger="1" minValue="0" maxValue="23"/>
    </cacheField>
    <cacheField name="Total Subscription Charges ($)" numFmtId="0">
      <sharedItems containsSemiMixedTypes="0" containsString="0" containsNumber="1" minValue="25.2" maxValue="7318.2"/>
    </cacheField>
    <cacheField name="Total IBM Revenue Contribution ($)" numFmtId="0">
      <sharedItems containsSemiMixedTypes="0" containsString="0" containsNumber="1" minValue="25.2" maxValue="10690.92"/>
    </cacheField>
    <cacheField name="Client Satisfaction Score" numFmtId="0">
      <sharedItems containsSemiMixedTypes="0" containsString="0" containsNumber="1" containsInteger="1" minValue="1" maxValue="3"/>
    </cacheField>
    <cacheField name="Churned (Yes/No)" numFmtId="0">
      <sharedItems/>
    </cacheField>
    <cacheField name="Client Risk Score" numFmtId="0">
      <sharedItems containsSemiMixedTypes="0" containsString="0" containsNumber="1" containsInteger="1" minValue="65" maxValue="96"/>
    </cacheField>
    <cacheField name="Predicted Client Lifetime Value ($)" numFmtId="0">
      <sharedItems containsSemiMixedTypes="0" containsString="0" containsNumber="1" containsInteger="1" minValue="2018" maxValue="6268"/>
    </cacheField>
    <cacheField name="Cloud Platform Used" numFmtId="0">
      <sharedItems/>
    </cacheField>
    <cacheField name="AI Adoption Level" numFmtId="0">
      <sharedItems/>
    </cacheField>
    <cacheField name="Industry Sector" numFmtId="0">
      <sharedItems count="5">
        <s v="Technology"/>
        <s v="Healthcare"/>
        <s v="Finance"/>
        <s v="Government"/>
        <s v="Retail"/>
      </sharedItems>
    </cacheField>
    <cacheField name="Data Compliance Status" numFmtId="0">
      <sharedItems/>
    </cacheField>
    <cacheField name="Bias Risk Score" numFmtId="0">
      <sharedItems containsSemiMixedTypes="0" containsString="0" containsNumber="1" containsInteger="1" minValue="1" maxValue="5"/>
    </cacheField>
    <cacheField name="Data Security Level" numFmtId="0">
      <sharedItems/>
    </cacheField>
    <cacheField name="Analytics Tool Used" numFmtId="0">
      <sharedItems/>
    </cacheField>
    <cacheField name="Visualization Effectiveness Score" numFmtId="0">
      <sharedItems containsSemiMixedTypes="0" containsString="0" containsNumber="1" containsInteger="1" minValue="1" maxValue="10"/>
    </cacheField>
    <cacheField name="Low Sat &amp; High Risk" numFmtId="0">
      <sharedItems/>
    </cacheField>
    <cacheField name="Months (Date Joined)" numFmtId="0" databaseField="0">
      <fieldGroup base="2">
        <rangePr groupBy="months" startDate="2020-01-09T00:00:00" endDate="2021-12-20T00:00:00"/>
        <groupItems count="14">
          <s v="&lt;1/9/2020"/>
          <s v="Jan"/>
          <s v="Feb"/>
          <s v="Mar"/>
          <s v="Apr"/>
          <s v="May"/>
          <s v="Jun"/>
          <s v="Jul"/>
          <s v="Aug"/>
          <s v="Sep"/>
          <s v="Oct"/>
          <s v="Nov"/>
          <s v="Dec"/>
          <s v="&gt;12/20/2021"/>
        </groupItems>
      </fieldGroup>
    </cacheField>
    <cacheField name="Quarters (Date Joined)" numFmtId="0" databaseField="0">
      <fieldGroup base="2">
        <rangePr groupBy="quarters" startDate="2020-01-09T00:00:00" endDate="2021-12-20T00:00:00"/>
        <groupItems count="6">
          <s v="&lt;1/9/2020"/>
          <s v="Qtr1"/>
          <s v="Qtr2"/>
          <s v="Qtr3"/>
          <s v="Qtr4"/>
          <s v="&gt;12/20/2021"/>
        </groupItems>
      </fieldGroup>
    </cacheField>
    <cacheField name="Years (Date Joined)" numFmtId="0" databaseField="0">
      <fieldGroup base="2">
        <rangePr groupBy="years" startDate="2020-01-09T00:00:00" endDate="2021-12-20T00:00:00"/>
        <groupItems count="4">
          <s v="&lt;1/9/2020"/>
          <s v="2020"/>
          <s v="2021"/>
          <s v="&gt;12/20/2021"/>
        </groupItems>
      </fieldGroup>
    </cacheField>
  </cacheFields>
  <extLst>
    <ext xmlns:x14="http://schemas.microsoft.com/office/spreadsheetml/2009/9/main" uri="{725AE2AE-9491-48be-B2B4-4EB974FC3084}">
      <x14:pivotCacheDefinition pivotCacheId="240157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n v="1"/>
    <n v="39.65"/>
    <n v="39.65"/>
    <n v="59.65"/>
    <x v="0"/>
    <x v="0"/>
    <n v="91"/>
    <n v="5433"/>
    <s v="IBM Cloud"/>
    <x v="0"/>
    <x v="0"/>
    <s v="Compliant"/>
    <n v="4"/>
    <s v="Low"/>
    <s v="SQL"/>
    <n v="9"/>
    <n v="1"/>
    <s v="No"/>
  </r>
  <r>
    <x v="1"/>
    <x v="0"/>
    <n v="8"/>
    <n v="80.650000000000006"/>
    <n v="633.29999999999995"/>
    <n v="1024.0999999999999"/>
    <x v="0"/>
    <x v="0"/>
    <n v="69"/>
    <n v="5302"/>
    <s v="None"/>
    <x v="0"/>
    <x v="1"/>
    <s v="Compliant"/>
    <n v="1"/>
    <s v="High"/>
    <s v="SQL"/>
    <n v="5"/>
    <n v="1"/>
    <s v="No"/>
  </r>
  <r>
    <x v="2"/>
    <x v="1"/>
    <n v="18"/>
    <n v="95.45"/>
    <n v="1752.55"/>
    <n v="1910.88"/>
    <x v="1"/>
    <x v="0"/>
    <n v="81"/>
    <n v="3179"/>
    <s v="Azure"/>
    <x v="1"/>
    <x v="0"/>
    <s v="Compliant"/>
    <n v="5"/>
    <s v="High"/>
    <s v="Excel"/>
    <n v="10"/>
    <n v="0"/>
    <s v="Yes"/>
  </r>
  <r>
    <x v="0"/>
    <x v="2"/>
    <n v="25"/>
    <n v="98.5"/>
    <n v="2514.5"/>
    <n v="2995.07"/>
    <x v="1"/>
    <x v="0"/>
    <n v="88"/>
    <n v="5337"/>
    <s v="AWS"/>
    <x v="2"/>
    <x v="0"/>
    <s v="Compliant"/>
    <n v="5"/>
    <s v="Medium"/>
    <s v="Excel"/>
    <n v="9"/>
    <n v="1"/>
    <s v="Yes"/>
  </r>
  <r>
    <x v="3"/>
    <x v="2"/>
    <n v="37"/>
    <n v="76.5"/>
    <n v="2868.15"/>
    <n v="3102.36"/>
    <x v="1"/>
    <x v="0"/>
    <n v="67"/>
    <n v="2793"/>
    <s v="IBM Cloud"/>
    <x v="2"/>
    <x v="0"/>
    <s v="Compliant"/>
    <n v="3"/>
    <s v="Low"/>
    <s v="Power BI"/>
    <n v="3"/>
    <n v="0"/>
    <s v="No"/>
  </r>
  <r>
    <x v="4"/>
    <x v="3"/>
    <n v="27"/>
    <n v="78.05"/>
    <n v="2135.5"/>
    <n v="2235.41"/>
    <x v="2"/>
    <x v="0"/>
    <n v="95"/>
    <n v="4638"/>
    <s v="IBM Cloud"/>
    <x v="0"/>
    <x v="2"/>
    <s v="Compliant"/>
    <n v="5"/>
    <s v="Low"/>
    <s v="IBM Cognos"/>
    <n v="4"/>
    <n v="2"/>
    <s v="Yes"/>
  </r>
  <r>
    <x v="5"/>
    <x v="4"/>
    <n v="1"/>
    <n v="70.45"/>
    <n v="70.45"/>
    <n v="85.73"/>
    <x v="1"/>
    <x v="0"/>
    <n v="76"/>
    <n v="3964"/>
    <s v="IBM Cloud"/>
    <x v="2"/>
    <x v="2"/>
    <s v="Compliant"/>
    <n v="5"/>
    <s v="Medium"/>
    <s v="IBM Cognos"/>
    <n v="9"/>
    <n v="2"/>
    <s v="No"/>
  </r>
  <r>
    <x v="6"/>
    <x v="5"/>
    <n v="58"/>
    <n v="45.3"/>
    <n v="2651.2"/>
    <n v="2610.25"/>
    <x v="2"/>
    <x v="0"/>
    <n v="91"/>
    <n v="5444"/>
    <s v="Azure"/>
    <x v="2"/>
    <x v="2"/>
    <s v="Compliant"/>
    <n v="5"/>
    <s v="Medium"/>
    <s v="SQL"/>
    <n v="10"/>
    <n v="1"/>
    <s v="Yes"/>
  </r>
  <r>
    <x v="7"/>
    <x v="4"/>
    <n v="15"/>
    <n v="74.45"/>
    <n v="1145.7"/>
    <n v="1806.75"/>
    <x v="1"/>
    <x v="0"/>
    <n v="91"/>
    <n v="5717"/>
    <s v="AWS"/>
    <x v="1"/>
    <x v="1"/>
    <s v="Compliant"/>
    <n v="5"/>
    <s v="Low"/>
    <s v="SQL"/>
    <n v="6"/>
    <n v="1"/>
    <s v="Yes"/>
  </r>
  <r>
    <x v="8"/>
    <x v="6"/>
    <n v="7"/>
    <n v="76.45"/>
    <n v="503.6"/>
    <n v="681.2"/>
    <x v="1"/>
    <x v="0"/>
    <n v="81"/>
    <n v="4419"/>
    <s v="Azure"/>
    <x v="1"/>
    <x v="3"/>
    <s v="Compliant"/>
    <n v="2"/>
    <s v="High"/>
    <s v="SQL"/>
    <n v="2"/>
    <n v="2"/>
    <s v="Yes"/>
  </r>
  <r>
    <x v="0"/>
    <x v="7"/>
    <n v="11"/>
    <n v="95"/>
    <n v="1120.3"/>
    <n v="1367.79"/>
    <x v="2"/>
    <x v="0"/>
    <n v="85"/>
    <n v="5980"/>
    <s v="IBM Cloud"/>
    <x v="1"/>
    <x v="0"/>
    <s v="Compliant"/>
    <n v="2"/>
    <s v="Low"/>
    <s v="Excel"/>
    <n v="7"/>
    <n v="1"/>
    <s v="Yes"/>
  </r>
  <r>
    <x v="9"/>
    <x v="0"/>
    <n v="15"/>
    <n v="74.400000000000006"/>
    <n v="1074.3"/>
    <n v="1510.95"/>
    <x v="2"/>
    <x v="1"/>
    <n v="86"/>
    <n v="4616"/>
    <s v="None"/>
    <x v="1"/>
    <x v="0"/>
    <s v="Non-Compliant"/>
    <n v="3"/>
    <s v="Medium"/>
    <s v="Excel"/>
    <n v="2"/>
    <n v="2"/>
    <s v="Yes"/>
  </r>
  <r>
    <x v="8"/>
    <x v="0"/>
    <n v="1"/>
    <n v="40.200000000000003"/>
    <n v="40.200000000000003"/>
    <n v="40.200000000000003"/>
    <x v="1"/>
    <x v="0"/>
    <n v="65"/>
    <n v="5828"/>
    <s v="Azure"/>
    <x v="0"/>
    <x v="1"/>
    <s v="Compliant"/>
    <n v="1"/>
    <s v="High"/>
    <s v="SQL"/>
    <n v="2"/>
    <n v="1"/>
    <s v="No"/>
  </r>
  <r>
    <x v="10"/>
    <x v="4"/>
    <n v="3"/>
    <n v="41.15"/>
    <n v="132.19999999999999"/>
    <n v="132.19999999999999"/>
    <x v="1"/>
    <x v="1"/>
    <n v="96"/>
    <n v="2314"/>
    <s v="IBM Cloud"/>
    <x v="1"/>
    <x v="0"/>
    <s v="Compliant"/>
    <n v="5"/>
    <s v="High"/>
    <s v="SQL"/>
    <n v="1"/>
    <n v="0"/>
    <s v="Yes"/>
  </r>
  <r>
    <x v="11"/>
    <x v="2"/>
    <n v="13"/>
    <n v="106.9"/>
    <n v="1364.3"/>
    <n v="1799.14"/>
    <x v="2"/>
    <x v="0"/>
    <n v="84"/>
    <n v="2494"/>
    <s v="IBM Cloud"/>
    <x v="2"/>
    <x v="2"/>
    <s v="Compliant"/>
    <n v="1"/>
    <s v="Medium"/>
    <s v="SQL"/>
    <n v="3"/>
    <n v="0"/>
    <s v="Yes"/>
  </r>
  <r>
    <x v="11"/>
    <x v="2"/>
    <n v="16"/>
    <n v="94.45"/>
    <n v="1511.2"/>
    <n v="1662.08"/>
    <x v="2"/>
    <x v="0"/>
    <n v="81"/>
    <n v="3810"/>
    <s v="IBM Cloud"/>
    <x v="0"/>
    <x v="3"/>
    <s v="Compliant"/>
    <n v="1"/>
    <s v="Medium"/>
    <s v="IBM Cognos"/>
    <n v="6"/>
    <n v="2"/>
    <s v="Yes"/>
  </r>
  <r>
    <x v="6"/>
    <x v="5"/>
    <n v="8"/>
    <n v="74.5"/>
    <n v="606.54999999999995"/>
    <n v="620.79"/>
    <x v="1"/>
    <x v="0"/>
    <n v="80"/>
    <n v="4345"/>
    <s v="IBM Cloud"/>
    <x v="2"/>
    <x v="4"/>
    <s v="Non-Compliant"/>
    <n v="3"/>
    <s v="Medium"/>
    <s v="Excel"/>
    <n v="8"/>
    <n v="2"/>
    <s v="Yes"/>
  </r>
  <r>
    <x v="12"/>
    <x v="6"/>
    <n v="24"/>
    <n v="76.099999999999994"/>
    <n v="1712.7"/>
    <n v="2453.58"/>
    <x v="1"/>
    <x v="0"/>
    <n v="91"/>
    <n v="2018"/>
    <s v="AWS"/>
    <x v="2"/>
    <x v="0"/>
    <s v="Compliant"/>
    <n v="5"/>
    <s v="Low"/>
    <s v="IBM Cognos"/>
    <n v="9"/>
    <n v="0"/>
    <s v="Yes"/>
  </r>
  <r>
    <x v="1"/>
    <x v="0"/>
    <n v="4"/>
    <n v="95.45"/>
    <n v="396.1"/>
    <n v="522.54"/>
    <x v="0"/>
    <x v="0"/>
    <n v="85"/>
    <n v="3677"/>
    <s v="IBM Cloud"/>
    <x v="2"/>
    <x v="2"/>
    <s v="Compliant"/>
    <n v="5"/>
    <s v="Low"/>
    <s v="IBM Cognos"/>
    <n v="7"/>
    <n v="2"/>
    <s v="No"/>
  </r>
  <r>
    <x v="5"/>
    <x v="5"/>
    <n v="32"/>
    <n v="74.900000000000006"/>
    <n v="2303.35"/>
    <n v="3818.23"/>
    <x v="1"/>
    <x v="0"/>
    <n v="69"/>
    <n v="4105"/>
    <s v="IBM Cloud"/>
    <x v="1"/>
    <x v="4"/>
    <s v="Compliant"/>
    <n v="4"/>
    <s v="High"/>
    <s v="SQL"/>
    <n v="4"/>
    <n v="2"/>
    <s v="No"/>
  </r>
  <r>
    <x v="8"/>
    <x v="2"/>
    <n v="24"/>
    <n v="93.15"/>
    <n v="2231.0500000000002"/>
    <n v="2617.4499999999998"/>
    <x v="1"/>
    <x v="0"/>
    <n v="73"/>
    <n v="2212"/>
    <s v="AWS"/>
    <x v="1"/>
    <x v="3"/>
    <s v="Compliant"/>
    <n v="1"/>
    <s v="Medium"/>
    <s v="SQL"/>
    <n v="6"/>
    <n v="0"/>
    <s v="No"/>
  </r>
  <r>
    <x v="7"/>
    <x v="5"/>
    <n v="54"/>
    <n v="82.45"/>
    <n v="4350.1000000000004"/>
    <n v="5002.42"/>
    <x v="2"/>
    <x v="0"/>
    <n v="83"/>
    <n v="4149"/>
    <s v="IBM Cloud"/>
    <x v="0"/>
    <x v="4"/>
    <s v="Compliant"/>
    <n v="1"/>
    <s v="High"/>
    <s v="Power BI"/>
    <n v="5"/>
    <n v="2"/>
    <s v="Yes"/>
  </r>
  <r>
    <x v="1"/>
    <x v="7"/>
    <n v="2"/>
    <n v="70.349999999999994"/>
    <n v="139.05000000000001"/>
    <n v="165.39"/>
    <x v="0"/>
    <x v="0"/>
    <n v="73"/>
    <n v="2671"/>
    <s v="IBM Cloud"/>
    <x v="0"/>
    <x v="2"/>
    <s v="Non-Compliant"/>
    <n v="2"/>
    <s v="High"/>
    <s v="Power BI"/>
    <n v="8"/>
    <n v="0"/>
    <s v="No"/>
  </r>
  <r>
    <x v="8"/>
    <x v="2"/>
    <n v="21"/>
    <n v="41.9"/>
    <n v="840.1"/>
    <n v="840.1"/>
    <x v="2"/>
    <x v="1"/>
    <n v="90"/>
    <n v="4778"/>
    <s v="IBM Cloud"/>
    <x v="1"/>
    <x v="4"/>
    <s v="Compliant"/>
    <n v="4"/>
    <s v="High"/>
    <s v="IBM Cognos"/>
    <n v="1"/>
    <n v="2"/>
    <s v="Yes"/>
  </r>
  <r>
    <x v="2"/>
    <x v="8"/>
    <n v="27"/>
    <n v="30.75"/>
    <n v="805.1"/>
    <n v="945.1"/>
    <x v="2"/>
    <x v="1"/>
    <n v="91"/>
    <n v="2927"/>
    <s v="IBM Cloud"/>
    <x v="2"/>
    <x v="1"/>
    <s v="Compliant"/>
    <n v="2"/>
    <s v="High"/>
    <s v="Excel"/>
    <n v="1"/>
    <n v="0"/>
    <s v="Yes"/>
  </r>
  <r>
    <x v="13"/>
    <x v="6"/>
    <n v="11"/>
    <n v="19.95"/>
    <n v="214.75"/>
    <n v="539.69000000000005"/>
    <x v="2"/>
    <x v="0"/>
    <n v="80"/>
    <n v="5888"/>
    <s v="Azure"/>
    <x v="0"/>
    <x v="4"/>
    <s v="Compliant"/>
    <n v="2"/>
    <s v="Medium"/>
    <s v="SQL"/>
    <n v="6"/>
    <n v="1"/>
    <s v="Yes"/>
  </r>
  <r>
    <x v="6"/>
    <x v="1"/>
    <n v="55"/>
    <n v="85.45"/>
    <n v="4874.7"/>
    <n v="7319.7999999999993"/>
    <x v="2"/>
    <x v="0"/>
    <n v="91"/>
    <n v="5502"/>
    <s v="IBM Cloud"/>
    <x v="1"/>
    <x v="0"/>
    <s v="Compliant"/>
    <n v="2"/>
    <s v="High"/>
    <s v="SQL"/>
    <n v="10"/>
    <n v="1"/>
    <s v="Yes"/>
  </r>
  <r>
    <x v="8"/>
    <x v="0"/>
    <n v="3"/>
    <n v="81.349999999999994"/>
    <n v="233.7"/>
    <n v="261.36"/>
    <x v="2"/>
    <x v="0"/>
    <n v="73"/>
    <n v="2818"/>
    <s v="AWS"/>
    <x v="1"/>
    <x v="0"/>
    <s v="Compliant"/>
    <n v="3"/>
    <s v="Medium"/>
    <s v="IBM Cognos"/>
    <n v="2"/>
    <n v="0"/>
    <s v="No"/>
  </r>
  <r>
    <x v="3"/>
    <x v="3"/>
    <n v="1"/>
    <n v="75.3"/>
    <n v="75.3"/>
    <n v="130.38999999999999"/>
    <x v="1"/>
    <x v="1"/>
    <n v="67"/>
    <n v="4902"/>
    <s v="AWS"/>
    <x v="1"/>
    <x v="1"/>
    <s v="Compliant"/>
    <n v="3"/>
    <s v="Medium"/>
    <s v="Power BI"/>
    <n v="5"/>
    <n v="2"/>
    <s v="No"/>
  </r>
  <r>
    <x v="8"/>
    <x v="7"/>
    <n v="5"/>
    <n v="28.45"/>
    <n v="131.05000000000001"/>
    <n v="131.05000000000001"/>
    <x v="1"/>
    <x v="0"/>
    <n v="89"/>
    <n v="4099"/>
    <s v="IBM Cloud"/>
    <x v="2"/>
    <x v="2"/>
    <s v="Non-Compliant"/>
    <n v="2"/>
    <s v="Low"/>
    <s v="Excel"/>
    <n v="1"/>
    <n v="2"/>
    <s v="Yes"/>
  </r>
  <r>
    <x v="8"/>
    <x v="9"/>
    <n v="20"/>
    <n v="94.1"/>
    <n v="1782.4"/>
    <n v="2837"/>
    <x v="2"/>
    <x v="1"/>
    <n v="87"/>
    <n v="2666"/>
    <s v="AWS"/>
    <x v="1"/>
    <x v="0"/>
    <s v="Compliant"/>
    <n v="4"/>
    <s v="Medium"/>
    <s v="Power BI"/>
    <n v="7"/>
    <n v="0"/>
    <s v="Yes"/>
  </r>
  <r>
    <x v="4"/>
    <x v="1"/>
    <n v="5"/>
    <n v="74.349999999999994"/>
    <n v="334.8"/>
    <n v="563.6"/>
    <x v="2"/>
    <x v="0"/>
    <n v="82"/>
    <n v="5273"/>
    <s v="IBM Cloud"/>
    <x v="1"/>
    <x v="3"/>
    <s v="Compliant"/>
    <n v="1"/>
    <s v="Low"/>
    <s v="Power BI"/>
    <n v="1"/>
    <n v="1"/>
    <s v="Yes"/>
  </r>
  <r>
    <x v="3"/>
    <x v="3"/>
    <n v="27"/>
    <n v="75.2"/>
    <n v="1929.35"/>
    <n v="2118.89"/>
    <x v="2"/>
    <x v="1"/>
    <n v="91"/>
    <n v="4517"/>
    <s v="IBM Cloud"/>
    <x v="1"/>
    <x v="0"/>
    <s v="Non-Compliant"/>
    <n v="4"/>
    <s v="Medium"/>
    <s v="Power BI"/>
    <n v="4"/>
    <n v="2"/>
    <s v="Yes"/>
  </r>
  <r>
    <x v="1"/>
    <x v="2"/>
    <n v="4"/>
    <n v="89.2"/>
    <n v="346.2"/>
    <n v="539.6"/>
    <x v="2"/>
    <x v="1"/>
    <n v="74"/>
    <n v="5808"/>
    <s v="None"/>
    <x v="1"/>
    <x v="0"/>
    <s v="Non-Compliant"/>
    <n v="5"/>
    <s v="Medium"/>
    <s v="Power BI"/>
    <n v="9"/>
    <n v="1"/>
    <s v="No"/>
  </r>
  <r>
    <x v="11"/>
    <x v="9"/>
    <n v="1"/>
    <n v="85.7"/>
    <n v="85.7"/>
    <n v="131.51"/>
    <x v="2"/>
    <x v="1"/>
    <n v="66"/>
    <n v="4880"/>
    <s v="None"/>
    <x v="0"/>
    <x v="2"/>
    <s v="Compliant"/>
    <n v="3"/>
    <s v="Medium"/>
    <s v="SQL"/>
    <n v="1"/>
    <n v="2"/>
    <s v="No"/>
  </r>
  <r>
    <x v="0"/>
    <x v="4"/>
    <n v="65"/>
    <n v="105.25"/>
    <n v="6786.4"/>
    <n v="7981.75"/>
    <x v="2"/>
    <x v="0"/>
    <n v="91"/>
    <n v="4196"/>
    <s v="Azure"/>
    <x v="0"/>
    <x v="4"/>
    <s v="Compliant"/>
    <n v="1"/>
    <s v="Low"/>
    <s v="SQL"/>
    <n v="4"/>
    <n v="2"/>
    <s v="Yes"/>
  </r>
  <r>
    <x v="14"/>
    <x v="4"/>
    <n v="49"/>
    <n v="90.05"/>
    <n v="4547.25"/>
    <n v="5670.33"/>
    <x v="1"/>
    <x v="0"/>
    <n v="96"/>
    <n v="5059"/>
    <s v="IBM Cloud"/>
    <x v="1"/>
    <x v="0"/>
    <s v="Compliant"/>
    <n v="1"/>
    <s v="Low"/>
    <s v="Power BI"/>
    <n v="6"/>
    <n v="1"/>
    <s v="Yes"/>
  </r>
  <r>
    <x v="8"/>
    <x v="7"/>
    <n v="43"/>
    <n v="110.75"/>
    <n v="4687.8999999999996"/>
    <n v="5312.2599999999993"/>
    <x v="1"/>
    <x v="1"/>
    <n v="65"/>
    <n v="2728"/>
    <s v="IBM Cloud"/>
    <x v="2"/>
    <x v="1"/>
    <s v="Compliant"/>
    <n v="5"/>
    <s v="High"/>
    <s v="Excel"/>
    <n v="6"/>
    <n v="0"/>
    <s v="No"/>
  </r>
  <r>
    <x v="3"/>
    <x v="4"/>
    <n v="56"/>
    <n v="104.55"/>
    <n v="5794.65"/>
    <n v="8527.4499999999989"/>
    <x v="2"/>
    <x v="0"/>
    <n v="91"/>
    <n v="6268"/>
    <s v="AWS"/>
    <x v="0"/>
    <x v="4"/>
    <s v="Compliant"/>
    <n v="5"/>
    <s v="Low"/>
    <s v="IBM Cognos"/>
    <n v="8"/>
    <n v="1"/>
    <s v="Yes"/>
  </r>
  <r>
    <x v="14"/>
    <x v="9"/>
    <n v="20"/>
    <n v="94.55"/>
    <n v="1899.65"/>
    <n v="2005.85"/>
    <x v="2"/>
    <x v="1"/>
    <n v="84"/>
    <n v="5604"/>
    <s v="IBM Cloud"/>
    <x v="1"/>
    <x v="3"/>
    <s v="Compliant"/>
    <n v="2"/>
    <s v="Low"/>
    <s v="Excel"/>
    <n v="1"/>
    <n v="1"/>
    <s v="Yes"/>
  </r>
  <r>
    <x v="12"/>
    <x v="9"/>
    <n v="2"/>
    <n v="89.5"/>
    <n v="161.5"/>
    <n v="256.44"/>
    <x v="1"/>
    <x v="1"/>
    <n v="80"/>
    <n v="2065"/>
    <s v="IBM Cloud"/>
    <x v="0"/>
    <x v="2"/>
    <s v="Compliant"/>
    <n v="3"/>
    <s v="Low"/>
    <s v="Excel"/>
    <n v="7"/>
    <n v="0"/>
    <s v="Yes"/>
  </r>
  <r>
    <x v="1"/>
    <x v="6"/>
    <n v="8"/>
    <n v="19.649999999999999"/>
    <n v="164.3"/>
    <n v="387.9"/>
    <x v="1"/>
    <x v="1"/>
    <n v="83"/>
    <n v="5432"/>
    <s v="IBM Cloud"/>
    <x v="0"/>
    <x v="3"/>
    <s v="Compliant"/>
    <n v="3"/>
    <s v="Low"/>
    <s v="Excel"/>
    <n v="1"/>
    <n v="1"/>
    <s v="Yes"/>
  </r>
  <r>
    <x v="5"/>
    <x v="1"/>
    <n v="52"/>
    <n v="49.15"/>
    <n v="2550.9"/>
    <n v="2580.9"/>
    <x v="1"/>
    <x v="1"/>
    <n v="90"/>
    <n v="5597"/>
    <s v="IBM Cloud"/>
    <x v="2"/>
    <x v="4"/>
    <s v="Compliant"/>
    <n v="4"/>
    <s v="High"/>
    <s v="Power BI"/>
    <n v="7"/>
    <n v="1"/>
    <s v="Yes"/>
  </r>
  <r>
    <x v="12"/>
    <x v="0"/>
    <n v="2"/>
    <n v="49.25"/>
    <n v="91.1"/>
    <n v="179.08"/>
    <x v="1"/>
    <x v="1"/>
    <n v="95"/>
    <n v="3475"/>
    <s v="None"/>
    <x v="1"/>
    <x v="4"/>
    <s v="Compliant"/>
    <n v="2"/>
    <s v="Low"/>
    <s v="SQL"/>
    <n v="3"/>
    <n v="0"/>
    <s v="Yes"/>
  </r>
  <r>
    <x v="4"/>
    <x v="8"/>
    <n v="33"/>
    <n v="94.5"/>
    <n v="3105.55"/>
    <n v="4022.29"/>
    <x v="0"/>
    <x v="0"/>
    <n v="91"/>
    <n v="4333"/>
    <s v="IBM Cloud"/>
    <x v="1"/>
    <x v="4"/>
    <s v="Compliant"/>
    <n v="2"/>
    <s v="Medium"/>
    <s v="Excel"/>
    <n v="8"/>
    <n v="2"/>
    <s v="No"/>
  </r>
  <r>
    <x v="12"/>
    <x v="5"/>
    <n v="30"/>
    <n v="91.7"/>
    <n v="2758.15"/>
    <n v="4134.55"/>
    <x v="2"/>
    <x v="0"/>
    <n v="90"/>
    <n v="2482"/>
    <s v="AWS"/>
    <x v="2"/>
    <x v="3"/>
    <s v="Compliant"/>
    <n v="2"/>
    <s v="Medium"/>
    <s v="Power BI"/>
    <n v="3"/>
    <n v="0"/>
    <s v="Yes"/>
  </r>
  <r>
    <x v="15"/>
    <x v="4"/>
    <n v="20"/>
    <n v="98.55"/>
    <n v="1842.8"/>
    <n v="2851.6"/>
    <x v="0"/>
    <x v="1"/>
    <n v="92"/>
    <n v="5444"/>
    <s v="IBM Cloud"/>
    <x v="2"/>
    <x v="4"/>
    <s v="Compliant"/>
    <n v="2"/>
    <s v="Low"/>
    <s v="Excel"/>
    <n v="1"/>
    <n v="1"/>
    <s v="No"/>
  </r>
  <r>
    <x v="9"/>
    <x v="7"/>
    <n v="46"/>
    <n v="110"/>
    <n v="4874.8"/>
    <n v="4983.8200000000006"/>
    <x v="2"/>
    <x v="1"/>
    <n v="81"/>
    <n v="2403"/>
    <s v="AWS"/>
    <x v="1"/>
    <x v="3"/>
    <s v="Compliant"/>
    <n v="3"/>
    <s v="Low"/>
    <s v="Excel"/>
    <n v="8"/>
    <n v="0"/>
    <s v="Yes"/>
  </r>
  <r>
    <x v="1"/>
    <x v="4"/>
    <n v="7"/>
    <n v="95.6"/>
    <n v="644.35"/>
    <n v="797.72"/>
    <x v="0"/>
    <x v="0"/>
    <n v="83"/>
    <n v="3265"/>
    <s v="AWS"/>
    <x v="1"/>
    <x v="4"/>
    <s v="Compliant"/>
    <n v="3"/>
    <s v="Medium"/>
    <s v="Power BI"/>
    <n v="3"/>
    <n v="0"/>
    <s v="No"/>
  </r>
  <r>
    <x v="9"/>
    <x v="5"/>
    <n v="4"/>
    <n v="78.849999999999994"/>
    <n v="292.8"/>
    <n v="440.52"/>
    <x v="0"/>
    <x v="0"/>
    <n v="72"/>
    <n v="5301"/>
    <s v="IBM Cloud"/>
    <x v="2"/>
    <x v="1"/>
    <s v="Compliant"/>
    <n v="2"/>
    <s v="Medium"/>
    <s v="SQL"/>
    <n v="2"/>
    <n v="1"/>
    <s v="No"/>
  </r>
  <r>
    <x v="6"/>
    <x v="1"/>
    <n v="55"/>
    <n v="100"/>
    <n v="5509.3"/>
    <n v="7665.2000000000007"/>
    <x v="0"/>
    <x v="0"/>
    <n v="83"/>
    <n v="5679"/>
    <s v="None"/>
    <x v="0"/>
    <x v="4"/>
    <s v="Compliant"/>
    <n v="4"/>
    <s v="High"/>
    <s v="SQL"/>
    <n v="1"/>
    <n v="1"/>
    <s v="No"/>
  </r>
  <r>
    <x v="2"/>
    <x v="6"/>
    <n v="20"/>
    <n v="73.650000000000006"/>
    <n v="1463.5"/>
    <n v="1570.9"/>
    <x v="2"/>
    <x v="0"/>
    <n v="95"/>
    <n v="5849"/>
    <s v="Azure"/>
    <x v="0"/>
    <x v="3"/>
    <s v="Compliant"/>
    <n v="1"/>
    <s v="Medium"/>
    <s v="IBM Cognos"/>
    <n v="3"/>
    <n v="1"/>
    <s v="Yes"/>
  </r>
  <r>
    <x v="9"/>
    <x v="9"/>
    <n v="9"/>
    <n v="100.5"/>
    <n v="918.6"/>
    <n v="1356.99"/>
    <x v="2"/>
    <x v="0"/>
    <n v="70"/>
    <n v="4038"/>
    <s v="None"/>
    <x v="2"/>
    <x v="0"/>
    <s v="Compliant"/>
    <n v="1"/>
    <s v="Medium"/>
    <s v="Power BI"/>
    <n v="2"/>
    <n v="2"/>
    <s v="No"/>
  </r>
  <r>
    <x v="12"/>
    <x v="6"/>
    <n v="10"/>
    <n v="72.849999999999994"/>
    <n v="688.65"/>
    <n v="773.25"/>
    <x v="2"/>
    <x v="0"/>
    <n v="91"/>
    <n v="3189"/>
    <s v="Azure"/>
    <x v="0"/>
    <x v="4"/>
    <s v="Compliant"/>
    <n v="4"/>
    <s v="Low"/>
    <s v="IBM Cognos"/>
    <n v="2"/>
    <n v="0"/>
    <s v="Yes"/>
  </r>
  <r>
    <x v="14"/>
    <x v="2"/>
    <n v="1"/>
    <n v="73.55"/>
    <n v="73.55"/>
    <n v="110.47"/>
    <x v="1"/>
    <x v="1"/>
    <n v="94"/>
    <n v="4369"/>
    <s v="AWS"/>
    <x v="2"/>
    <x v="0"/>
    <s v="Compliant"/>
    <n v="2"/>
    <s v="Medium"/>
    <s v="IBM Cognos"/>
    <n v="6"/>
    <n v="2"/>
    <s v="Yes"/>
  </r>
  <r>
    <x v="14"/>
    <x v="4"/>
    <n v="3"/>
    <n v="79.400000000000006"/>
    <n v="205.05"/>
    <n v="330.75"/>
    <x v="2"/>
    <x v="0"/>
    <n v="91"/>
    <n v="3501"/>
    <s v="None"/>
    <x v="0"/>
    <x v="1"/>
    <s v="Compliant"/>
    <n v="3"/>
    <s v="High"/>
    <s v="IBM Cognos"/>
    <n v="1"/>
    <n v="0"/>
    <s v="Yes"/>
  </r>
  <r>
    <x v="11"/>
    <x v="0"/>
    <n v="4"/>
    <n v="84.6"/>
    <n v="360.1"/>
    <n v="386.82000000000011"/>
    <x v="2"/>
    <x v="0"/>
    <n v="83"/>
    <n v="2467"/>
    <s v="IBM Cloud"/>
    <x v="0"/>
    <x v="2"/>
    <s v="Compliant"/>
    <n v="1"/>
    <s v="Medium"/>
    <s v="SQL"/>
    <n v="2"/>
    <n v="0"/>
    <s v="Yes"/>
  </r>
  <r>
    <x v="2"/>
    <x v="2"/>
    <n v="35"/>
    <n v="99.05"/>
    <n v="3395.8"/>
    <n v="4244.8500000000004"/>
    <x v="2"/>
    <x v="0"/>
    <n v="82"/>
    <n v="2074"/>
    <s v="IBM Cloud"/>
    <x v="1"/>
    <x v="1"/>
    <s v="Compliant"/>
    <n v="5"/>
    <s v="Low"/>
    <s v="Power BI"/>
    <n v="6"/>
    <n v="0"/>
    <s v="Yes"/>
  </r>
  <r>
    <x v="3"/>
    <x v="1"/>
    <n v="2"/>
    <n v="44.95"/>
    <n v="85.15"/>
    <n v="138.38999999999999"/>
    <x v="1"/>
    <x v="1"/>
    <n v="84"/>
    <n v="5900"/>
    <s v="IBM Cloud"/>
    <x v="1"/>
    <x v="4"/>
    <s v="Compliant"/>
    <n v="5"/>
    <s v="Low"/>
    <s v="IBM Cognos"/>
    <n v="3"/>
    <n v="1"/>
    <s v="Yes"/>
  </r>
  <r>
    <x v="6"/>
    <x v="4"/>
    <n v="8"/>
    <n v="100.3"/>
    <n v="832.35"/>
    <n v="924.91"/>
    <x v="2"/>
    <x v="0"/>
    <n v="74"/>
    <n v="5084"/>
    <s v="IBM Cloud"/>
    <x v="0"/>
    <x v="0"/>
    <s v="Compliant"/>
    <n v="4"/>
    <s v="Medium"/>
    <s v="Power BI"/>
    <n v="4"/>
    <n v="1"/>
    <s v="No"/>
  </r>
  <r>
    <x v="15"/>
    <x v="2"/>
    <n v="44"/>
    <n v="30.35"/>
    <n v="1359.7"/>
    <n v="1359.7"/>
    <x v="2"/>
    <x v="1"/>
    <n v="96"/>
    <n v="4829"/>
    <s v="IBM Cloud"/>
    <x v="0"/>
    <x v="0"/>
    <s v="Compliant"/>
    <n v="2"/>
    <s v="Low"/>
    <s v="Power BI"/>
    <n v="1"/>
    <n v="2"/>
    <s v="Yes"/>
  </r>
  <r>
    <x v="8"/>
    <x v="4"/>
    <n v="62"/>
    <n v="103.75"/>
    <n v="6383.35"/>
    <n v="6824.17"/>
    <x v="2"/>
    <x v="1"/>
    <n v="91"/>
    <n v="5052"/>
    <s v="IBM Cloud"/>
    <x v="1"/>
    <x v="3"/>
    <s v="Compliant"/>
    <n v="1"/>
    <s v="High"/>
    <s v="SQL"/>
    <n v="8"/>
    <n v="1"/>
    <s v="Yes"/>
  </r>
  <r>
    <x v="5"/>
    <x v="7"/>
    <n v="33"/>
    <n v="80.599999999999994"/>
    <n v="2656.5"/>
    <n v="3751.77"/>
    <x v="1"/>
    <x v="0"/>
    <n v="72"/>
    <n v="3601"/>
    <s v="Azure"/>
    <x v="1"/>
    <x v="0"/>
    <s v="Non-Compliant"/>
    <n v="2"/>
    <s v="High"/>
    <s v="IBM Cognos"/>
    <n v="7"/>
    <n v="2"/>
    <s v="No"/>
  </r>
  <r>
    <x v="9"/>
    <x v="1"/>
    <n v="4"/>
    <n v="94.3"/>
    <n v="424.45"/>
    <n v="622.45000000000005"/>
    <x v="1"/>
    <x v="1"/>
    <n v="91"/>
    <n v="5419"/>
    <s v="IBM Cloud"/>
    <x v="1"/>
    <x v="3"/>
    <s v="Compliant"/>
    <n v="1"/>
    <s v="Medium"/>
    <s v="IBM Cognos"/>
    <n v="7"/>
    <n v="1"/>
    <s v="Yes"/>
  </r>
  <r>
    <x v="14"/>
    <x v="8"/>
    <n v="27"/>
    <n v="75.5"/>
    <n v="1893.95"/>
    <n v="2180.15"/>
    <x v="2"/>
    <x v="0"/>
    <n v="65"/>
    <n v="2377"/>
    <s v="IBM Cloud"/>
    <x v="2"/>
    <x v="2"/>
    <s v="Compliant"/>
    <n v="4"/>
    <s v="Medium"/>
    <s v="Power BI"/>
    <n v="3"/>
    <n v="0"/>
    <s v="No"/>
  </r>
  <r>
    <x v="14"/>
    <x v="9"/>
    <n v="8"/>
    <n v="100.6"/>
    <n v="819.4"/>
    <n v="1143"/>
    <x v="2"/>
    <x v="1"/>
    <n v="90"/>
    <n v="5906"/>
    <s v="AWS"/>
    <x v="0"/>
    <x v="4"/>
    <s v="Compliant"/>
    <n v="4"/>
    <s v="Medium"/>
    <s v="Excel"/>
    <n v="10"/>
    <n v="1"/>
    <s v="Yes"/>
  </r>
  <r>
    <x v="11"/>
    <x v="3"/>
    <n v="3"/>
    <n v="88.3"/>
    <n v="273.75"/>
    <n v="351.06"/>
    <x v="2"/>
    <x v="1"/>
    <n v="68"/>
    <n v="4486"/>
    <s v="IBM Cloud"/>
    <x v="1"/>
    <x v="3"/>
    <s v="Non-Compliant"/>
    <n v="5"/>
    <s v="Low"/>
    <s v="SQL"/>
    <n v="10"/>
    <n v="2"/>
    <s v="No"/>
  </r>
  <r>
    <x v="2"/>
    <x v="9"/>
    <n v="8"/>
    <n v="92.1"/>
    <n v="729.95"/>
    <n v="1073.3900000000001"/>
    <x v="2"/>
    <x v="1"/>
    <n v="81"/>
    <n v="5662"/>
    <s v="Azure"/>
    <x v="0"/>
    <x v="2"/>
    <s v="Non-Compliant"/>
    <n v="2"/>
    <s v="High"/>
    <s v="SQL"/>
    <n v="3"/>
    <n v="1"/>
    <s v="Yes"/>
  </r>
  <r>
    <x v="1"/>
    <x v="9"/>
    <n v="14"/>
    <n v="90.45"/>
    <n v="1266.0999999999999"/>
    <n v="1424.44"/>
    <x v="0"/>
    <x v="0"/>
    <n v="96"/>
    <n v="4777"/>
    <s v="IBM Cloud"/>
    <x v="2"/>
    <x v="0"/>
    <s v="Compliant"/>
    <n v="5"/>
    <s v="High"/>
    <s v="SQL"/>
    <n v="2"/>
    <n v="2"/>
    <s v="No"/>
  </r>
  <r>
    <x v="8"/>
    <x v="2"/>
    <n v="12"/>
    <n v="43.65"/>
    <n v="526.95000000000005"/>
    <n v="526.95000000000005"/>
    <x v="2"/>
    <x v="1"/>
    <n v="74"/>
    <n v="2437"/>
    <s v="None"/>
    <x v="2"/>
    <x v="0"/>
    <s v="Compliant"/>
    <n v="2"/>
    <s v="Low"/>
    <s v="SQL"/>
    <n v="1"/>
    <n v="0"/>
    <s v="No"/>
  </r>
  <r>
    <x v="15"/>
    <x v="1"/>
    <n v="13"/>
    <n v="74.3"/>
    <n v="940.35"/>
    <n v="1465.16"/>
    <x v="2"/>
    <x v="0"/>
    <n v="90"/>
    <n v="2995"/>
    <s v="Azure"/>
    <x v="1"/>
    <x v="2"/>
    <s v="Compliant"/>
    <n v="5"/>
    <s v="High"/>
    <s v="IBM Cognos"/>
    <n v="7"/>
    <n v="0"/>
    <s v="Yes"/>
  </r>
  <r>
    <x v="11"/>
    <x v="4"/>
    <n v="11"/>
    <n v="89.7"/>
    <n v="1047.7"/>
    <n v="1091.26"/>
    <x v="1"/>
    <x v="0"/>
    <n v="89"/>
    <n v="2202"/>
    <s v="IBM Cloud"/>
    <x v="2"/>
    <x v="0"/>
    <s v="Compliant"/>
    <n v="3"/>
    <s v="Medium"/>
    <s v="IBM Cognos"/>
    <n v="7"/>
    <n v="0"/>
    <s v="Yes"/>
  </r>
  <r>
    <x v="1"/>
    <x v="6"/>
    <n v="17"/>
    <n v="100.45"/>
    <n v="1622.45"/>
    <n v="2101.5100000000002"/>
    <x v="0"/>
    <x v="1"/>
    <n v="87"/>
    <n v="5508"/>
    <s v="IBM Cloud"/>
    <x v="0"/>
    <x v="2"/>
    <s v="Compliant"/>
    <n v="3"/>
    <s v="Medium"/>
    <s v="Excel"/>
    <n v="2"/>
    <n v="1"/>
    <s v="No"/>
  </r>
  <r>
    <x v="9"/>
    <x v="3"/>
    <n v="39"/>
    <n v="105.65"/>
    <n v="4284.8"/>
    <n v="5581.55"/>
    <x v="0"/>
    <x v="0"/>
    <n v="96"/>
    <n v="4687"/>
    <s v="Azure"/>
    <x v="1"/>
    <x v="3"/>
    <s v="Compliant"/>
    <n v="3"/>
    <s v="Medium"/>
    <s v="SQL"/>
    <n v="7"/>
    <n v="2"/>
    <s v="No"/>
  </r>
  <r>
    <x v="15"/>
    <x v="5"/>
    <n v="11"/>
    <n v="104.05"/>
    <n v="1133.6500000000001"/>
    <n v="1323.4"/>
    <x v="0"/>
    <x v="1"/>
    <n v="82"/>
    <n v="4553"/>
    <s v="Azure"/>
    <x v="0"/>
    <x v="3"/>
    <s v="Non-Compliant"/>
    <n v="3"/>
    <s v="High"/>
    <s v="SQL"/>
    <n v="8"/>
    <n v="2"/>
    <s v="No"/>
  </r>
  <r>
    <x v="1"/>
    <x v="2"/>
    <n v="3"/>
    <n v="80.400000000000006"/>
    <n v="224.05"/>
    <n v="233.92"/>
    <x v="1"/>
    <x v="1"/>
    <n v="89"/>
    <n v="3834"/>
    <s v="Azure"/>
    <x v="0"/>
    <x v="2"/>
    <s v="Compliant"/>
    <n v="1"/>
    <s v="Medium"/>
    <s v="Power BI"/>
    <n v="1"/>
    <n v="2"/>
    <s v="Yes"/>
  </r>
  <r>
    <x v="3"/>
    <x v="3"/>
    <n v="21"/>
    <n v="60.05"/>
    <n v="1236.1500000000001"/>
    <n v="1963.17"/>
    <x v="2"/>
    <x v="0"/>
    <n v="70"/>
    <n v="4716"/>
    <s v="Azure"/>
    <x v="2"/>
    <x v="3"/>
    <s v="Compliant"/>
    <n v="3"/>
    <s v="Low"/>
    <s v="IBM Cognos"/>
    <n v="9"/>
    <n v="2"/>
    <s v="No"/>
  </r>
  <r>
    <x v="5"/>
    <x v="8"/>
    <n v="16"/>
    <n v="96.15"/>
    <n v="1529.2"/>
    <n v="2149.1999999999998"/>
    <x v="1"/>
    <x v="0"/>
    <n v="96"/>
    <n v="5913"/>
    <s v="IBM Cloud"/>
    <x v="2"/>
    <x v="3"/>
    <s v="Compliant"/>
    <n v="4"/>
    <s v="Low"/>
    <s v="SQL"/>
    <n v="7"/>
    <n v="1"/>
    <s v="Yes"/>
  </r>
  <r>
    <x v="15"/>
    <x v="7"/>
    <n v="46"/>
    <n v="95.25"/>
    <n v="4424.2"/>
    <n v="4706.18"/>
    <x v="1"/>
    <x v="0"/>
    <n v="90"/>
    <n v="3180"/>
    <s v="IBM Cloud"/>
    <x v="2"/>
    <x v="3"/>
    <s v="Compliant"/>
    <n v="4"/>
    <s v="High"/>
    <s v="Excel"/>
    <n v="3"/>
    <n v="0"/>
    <s v="Yes"/>
  </r>
  <r>
    <x v="7"/>
    <x v="1"/>
    <n v="68"/>
    <n v="89.6"/>
    <n v="6127.6"/>
    <n v="7768.44"/>
    <x v="2"/>
    <x v="1"/>
    <n v="69"/>
    <n v="5651"/>
    <s v="IBM Cloud"/>
    <x v="2"/>
    <x v="1"/>
    <s v="Compliant"/>
    <n v="1"/>
    <s v="Low"/>
    <s v="Excel"/>
    <n v="8"/>
    <n v="1"/>
    <s v="No"/>
  </r>
  <r>
    <x v="14"/>
    <x v="5"/>
    <n v="7"/>
    <n v="89.5"/>
    <n v="676.7"/>
    <n v="772.11"/>
    <x v="1"/>
    <x v="0"/>
    <n v="89"/>
    <n v="3077"/>
    <s v="Azure"/>
    <x v="2"/>
    <x v="4"/>
    <s v="Compliant"/>
    <n v="3"/>
    <s v="Low"/>
    <s v="IBM Cognos"/>
    <n v="7"/>
    <n v="0"/>
    <s v="Yes"/>
  </r>
  <r>
    <x v="1"/>
    <x v="2"/>
    <n v="15"/>
    <n v="85.6"/>
    <n v="1345.55"/>
    <n v="2024.3"/>
    <x v="2"/>
    <x v="1"/>
    <n v="83"/>
    <n v="4981"/>
    <s v="AWS"/>
    <x v="1"/>
    <x v="0"/>
    <s v="Compliant"/>
    <n v="3"/>
    <s v="High"/>
    <s v="Excel"/>
    <n v="8"/>
    <n v="1"/>
    <s v="Yes"/>
  </r>
  <r>
    <x v="5"/>
    <x v="9"/>
    <n v="16"/>
    <n v="86.6"/>
    <n v="1281"/>
    <n v="1587.88"/>
    <x v="0"/>
    <x v="0"/>
    <n v="81"/>
    <n v="2508"/>
    <s v="IBM Cloud"/>
    <x v="0"/>
    <x v="1"/>
    <s v="Compliant"/>
    <n v="3"/>
    <s v="Medium"/>
    <s v="Excel"/>
    <n v="6"/>
    <n v="0"/>
    <s v="No"/>
  </r>
  <r>
    <x v="14"/>
    <x v="0"/>
    <n v="1"/>
    <n v="69.25"/>
    <n v="69.25"/>
    <n v="98.93"/>
    <x v="1"/>
    <x v="0"/>
    <n v="75"/>
    <n v="4371"/>
    <s v="IBM Cloud"/>
    <x v="0"/>
    <x v="3"/>
    <s v="Compliant"/>
    <n v="5"/>
    <s v="Medium"/>
    <s v="IBM Cognos"/>
    <n v="9"/>
    <n v="2"/>
    <s v="No"/>
  </r>
  <r>
    <x v="1"/>
    <x v="2"/>
    <n v="1"/>
    <n v="25.2"/>
    <n v="25.2"/>
    <n v="25.2"/>
    <x v="2"/>
    <x v="1"/>
    <n v="67"/>
    <n v="5688"/>
    <s v="IBM Cloud"/>
    <x v="0"/>
    <x v="2"/>
    <s v="Compliant"/>
    <n v="2"/>
    <s v="Medium"/>
    <s v="SQL"/>
    <n v="5"/>
    <n v="1"/>
    <s v="No"/>
  </r>
  <r>
    <x v="15"/>
    <x v="0"/>
    <n v="13"/>
    <n v="95.05"/>
    <n v="1290"/>
    <n v="1537.39"/>
    <x v="2"/>
    <x v="1"/>
    <n v="90"/>
    <n v="2230"/>
    <s v="IBM Cloud"/>
    <x v="0"/>
    <x v="3"/>
    <s v="Non-Compliant"/>
    <n v="5"/>
    <s v="High"/>
    <s v="SQL"/>
    <n v="3"/>
    <n v="0"/>
    <s v="Yes"/>
  </r>
  <r>
    <x v="12"/>
    <x v="9"/>
    <n v="1"/>
    <n v="79.2"/>
    <n v="79.2"/>
    <n v="99.26"/>
    <x v="0"/>
    <x v="0"/>
    <n v="76"/>
    <n v="4363"/>
    <s v="Azure"/>
    <x v="2"/>
    <x v="4"/>
    <s v="Compliant"/>
    <n v="2"/>
    <s v="Low"/>
    <s v="Excel"/>
    <n v="3"/>
    <n v="2"/>
    <s v="No"/>
  </r>
  <r>
    <x v="14"/>
    <x v="7"/>
    <n v="34"/>
    <n v="94.25"/>
    <n v="3217.55"/>
    <n v="3315.47"/>
    <x v="2"/>
    <x v="1"/>
    <n v="88"/>
    <n v="3369"/>
    <s v="AWS"/>
    <x v="0"/>
    <x v="3"/>
    <s v="Compliant"/>
    <n v="3"/>
    <s v="Medium"/>
    <s v="Excel"/>
    <n v="1"/>
    <n v="0"/>
    <s v="Yes"/>
  </r>
  <r>
    <x v="9"/>
    <x v="1"/>
    <n v="4"/>
    <n v="99.8"/>
    <n v="442.85"/>
    <n v="493.57000000000011"/>
    <x v="2"/>
    <x v="0"/>
    <n v="89"/>
    <n v="2268"/>
    <s v="Azure"/>
    <x v="1"/>
    <x v="2"/>
    <s v="Compliant"/>
    <n v="3"/>
    <s v="Medium"/>
    <s v="SQL"/>
    <n v="8"/>
    <n v="0"/>
    <s v="Yes"/>
  </r>
  <r>
    <x v="8"/>
    <x v="4"/>
    <n v="2"/>
    <n v="93.85"/>
    <n v="170.85"/>
    <n v="209.39"/>
    <x v="0"/>
    <x v="0"/>
    <n v="72"/>
    <n v="4193"/>
    <s v="IBM Cloud"/>
    <x v="1"/>
    <x v="4"/>
    <s v="Compliant"/>
    <n v="5"/>
    <s v="High"/>
    <s v="IBM Cognos"/>
    <n v="2"/>
    <n v="2"/>
    <s v="No"/>
  </r>
  <r>
    <x v="10"/>
    <x v="2"/>
    <n v="9"/>
    <n v="84.4"/>
    <n v="732.5"/>
    <n v="1009.7"/>
    <x v="1"/>
    <x v="0"/>
    <n v="83"/>
    <n v="5745"/>
    <s v="IBM Cloud"/>
    <x v="0"/>
    <x v="3"/>
    <s v="Non-Compliant"/>
    <n v="5"/>
    <s v="Medium"/>
    <s v="Excel"/>
    <n v="3"/>
    <n v="1"/>
    <s v="Yes"/>
  </r>
  <r>
    <x v="0"/>
    <x v="6"/>
    <n v="5"/>
    <n v="75.55"/>
    <n v="349.65"/>
    <n v="561.29999999999995"/>
    <x v="2"/>
    <x v="0"/>
    <n v="90"/>
    <n v="4028"/>
    <s v="Azure"/>
    <x v="0"/>
    <x v="4"/>
    <s v="Compliant"/>
    <n v="2"/>
    <s v="High"/>
    <s v="Power BI"/>
    <n v="8"/>
    <n v="2"/>
    <s v="Yes"/>
  </r>
  <r>
    <x v="9"/>
    <x v="9"/>
    <n v="22"/>
    <n v="96.7"/>
    <n v="2082.9499999999998"/>
    <n v="3066.91"/>
    <x v="2"/>
    <x v="0"/>
    <n v="93"/>
    <n v="4458"/>
    <s v="Azure"/>
    <x v="1"/>
    <x v="0"/>
    <s v="Non-Compliant"/>
    <n v="4"/>
    <s v="Low"/>
    <s v="IBM Cognos"/>
    <n v="8"/>
    <n v="2"/>
    <s v="Yes"/>
  </r>
  <r>
    <x v="1"/>
    <x v="2"/>
    <n v="19"/>
    <n v="88.2"/>
    <n v="1775.8"/>
    <n v="2535.23"/>
    <x v="2"/>
    <x v="0"/>
    <n v="69"/>
    <n v="5683"/>
    <s v="AWS"/>
    <x v="1"/>
    <x v="0"/>
    <s v="Compliant"/>
    <n v="2"/>
    <s v="High"/>
    <s v="Excel"/>
    <n v="4"/>
    <n v="1"/>
    <s v="No"/>
  </r>
  <r>
    <x v="7"/>
    <x v="8"/>
    <n v="15"/>
    <n v="75.650000000000006"/>
    <n v="1146.6500000000001"/>
    <n v="1842.35"/>
    <x v="0"/>
    <x v="1"/>
    <n v="96"/>
    <n v="2099"/>
    <s v="Azure"/>
    <x v="2"/>
    <x v="3"/>
    <s v="Compliant"/>
    <n v="5"/>
    <s v="High"/>
    <s v="Excel"/>
    <n v="4"/>
    <n v="0"/>
    <s v="No"/>
  </r>
  <r>
    <x v="12"/>
    <x v="7"/>
    <n v="1"/>
    <n v="74.7"/>
    <n v="74.7"/>
    <n v="86.04"/>
    <x v="2"/>
    <x v="0"/>
    <n v="88"/>
    <n v="3348"/>
    <s v="IBM Cloud"/>
    <x v="1"/>
    <x v="4"/>
    <s v="Compliant"/>
    <n v="5"/>
    <s v="High"/>
    <s v="Power BI"/>
    <n v="5"/>
    <n v="0"/>
    <s v="Yes"/>
  </r>
  <r>
    <x v="5"/>
    <x v="8"/>
    <n v="1"/>
    <n v="25.8"/>
    <n v="25.8"/>
    <n v="45.8"/>
    <x v="2"/>
    <x v="0"/>
    <n v="90"/>
    <n v="3884"/>
    <s v="AWS"/>
    <x v="2"/>
    <x v="2"/>
    <s v="Non-Compliant"/>
    <n v="1"/>
    <s v="High"/>
    <s v="Power BI"/>
    <n v="6"/>
    <n v="2"/>
    <s v="Yes"/>
  </r>
  <r>
    <x v="2"/>
    <x v="3"/>
    <n v="10"/>
    <n v="95.35"/>
    <n v="898.35"/>
    <n v="1312.05"/>
    <x v="2"/>
    <x v="1"/>
    <n v="75"/>
    <n v="5353"/>
    <s v="IBM Cloud"/>
    <x v="2"/>
    <x v="3"/>
    <s v="Compliant"/>
    <n v="5"/>
    <s v="Low"/>
    <s v="SQL"/>
    <n v="5"/>
    <n v="1"/>
    <s v="No"/>
  </r>
  <r>
    <x v="5"/>
    <x v="1"/>
    <n v="3"/>
    <n v="45"/>
    <n v="127.1"/>
    <n v="227.52"/>
    <x v="0"/>
    <x v="1"/>
    <n v="77"/>
    <n v="4145"/>
    <s v="IBM Cloud"/>
    <x v="2"/>
    <x v="0"/>
    <s v="Compliant"/>
    <n v="1"/>
    <s v="Low"/>
    <s v="IBM Cognos"/>
    <n v="7"/>
    <n v="2"/>
    <s v="No"/>
  </r>
  <r>
    <x v="8"/>
    <x v="3"/>
    <n v="12"/>
    <n v="80.45"/>
    <n v="950.2"/>
    <n v="1033.8399999999999"/>
    <x v="1"/>
    <x v="0"/>
    <n v="69"/>
    <n v="5374"/>
    <s v="IBM Cloud"/>
    <x v="2"/>
    <x v="0"/>
    <s v="Non-Compliant"/>
    <n v="4"/>
    <s v="Medium"/>
    <s v="IBM Cognos"/>
    <n v="2"/>
    <n v="1"/>
    <s v="No"/>
  </r>
  <r>
    <x v="1"/>
    <x v="2"/>
    <n v="2"/>
    <n v="74.7"/>
    <n v="165.4"/>
    <n v="178.42"/>
    <x v="1"/>
    <x v="1"/>
    <n v="81"/>
    <n v="2803"/>
    <s v="IBM Cloud"/>
    <x v="2"/>
    <x v="3"/>
    <s v="Compliant"/>
    <n v="2"/>
    <s v="Low"/>
    <s v="SQL"/>
    <n v="7"/>
    <n v="0"/>
    <s v="Yes"/>
  </r>
  <r>
    <x v="8"/>
    <x v="5"/>
    <n v="1"/>
    <n v="88.8"/>
    <n v="88.8"/>
    <n v="148.4"/>
    <x v="2"/>
    <x v="0"/>
    <n v="91"/>
    <n v="3106"/>
    <s v="AWS"/>
    <x v="0"/>
    <x v="4"/>
    <s v="Compliant"/>
    <n v="2"/>
    <s v="Low"/>
    <s v="IBM Cognos"/>
    <n v="10"/>
    <n v="0"/>
    <s v="Yes"/>
  </r>
  <r>
    <x v="5"/>
    <x v="5"/>
    <n v="13"/>
    <n v="89.05"/>
    <n v="1169.3499999999999"/>
    <n v="1188.46"/>
    <x v="2"/>
    <x v="0"/>
    <n v="82"/>
    <n v="3861"/>
    <s v="IBM Cloud"/>
    <x v="1"/>
    <x v="0"/>
    <s v="Compliant"/>
    <n v="1"/>
    <s v="Medium"/>
    <s v="IBM Cognos"/>
    <n v="7"/>
    <n v="2"/>
    <s v="Yes"/>
  </r>
  <r>
    <x v="8"/>
    <x v="1"/>
    <n v="23"/>
    <n v="94.75"/>
    <n v="2293.6"/>
    <n v="3010.51"/>
    <x v="1"/>
    <x v="0"/>
    <n v="95"/>
    <n v="2740"/>
    <s v="AWS"/>
    <x v="2"/>
    <x v="4"/>
    <s v="Compliant"/>
    <n v="2"/>
    <s v="Low"/>
    <s v="IBM Cognos"/>
    <n v="1"/>
    <n v="0"/>
    <s v="Yes"/>
  </r>
  <r>
    <x v="3"/>
    <x v="6"/>
    <n v="17"/>
    <n v="85.35"/>
    <n v="1463.45"/>
    <n v="2089.39"/>
    <x v="2"/>
    <x v="1"/>
    <n v="90"/>
    <n v="3209"/>
    <s v="None"/>
    <x v="1"/>
    <x v="0"/>
    <s v="Compliant"/>
    <n v="5"/>
    <s v="High"/>
    <s v="IBM Cognos"/>
    <n v="7"/>
    <n v="0"/>
    <s v="Yes"/>
  </r>
  <r>
    <x v="11"/>
    <x v="7"/>
    <n v="17"/>
    <n v="45.05"/>
    <n v="770.6"/>
    <n v="1466.41"/>
    <x v="2"/>
    <x v="1"/>
    <n v="93"/>
    <n v="3797"/>
    <s v="IBM Cloud"/>
    <x v="1"/>
    <x v="0"/>
    <s v="Compliant"/>
    <n v="3"/>
    <s v="High"/>
    <s v="IBM Cognos"/>
    <n v="5"/>
    <n v="2"/>
    <s v="Yes"/>
  </r>
  <r>
    <x v="13"/>
    <x v="6"/>
    <n v="42"/>
    <n v="84.65"/>
    <n v="3541.35"/>
    <n v="3941.61"/>
    <x v="1"/>
    <x v="0"/>
    <n v="90"/>
    <n v="4871"/>
    <s v="IBM Cloud"/>
    <x v="2"/>
    <x v="1"/>
    <s v="Non-Compliant"/>
    <n v="1"/>
    <s v="Medium"/>
    <s v="Power BI"/>
    <n v="3"/>
    <n v="2"/>
    <s v="Yes"/>
  </r>
  <r>
    <x v="9"/>
    <x v="7"/>
    <n v="1"/>
    <n v="79.099999999999994"/>
    <n v="79.099999999999994"/>
    <n v="121.4"/>
    <x v="0"/>
    <x v="0"/>
    <n v="92"/>
    <n v="5001"/>
    <s v="Azure"/>
    <x v="0"/>
    <x v="0"/>
    <s v="Compliant"/>
    <n v="2"/>
    <s v="Medium"/>
    <s v="IBM Cognos"/>
    <n v="3"/>
    <n v="1"/>
    <s v="No"/>
  </r>
  <r>
    <x v="11"/>
    <x v="9"/>
    <n v="1"/>
    <n v="50.15"/>
    <n v="50.15"/>
    <n v="89.93"/>
    <x v="1"/>
    <x v="0"/>
    <n v="91"/>
    <n v="3438"/>
    <s v="IBM Cloud"/>
    <x v="2"/>
    <x v="2"/>
    <s v="Compliant"/>
    <n v="1"/>
    <s v="Medium"/>
    <s v="Power BI"/>
    <n v="4"/>
    <n v="0"/>
    <s v="Yes"/>
  </r>
  <r>
    <x v="4"/>
    <x v="2"/>
    <n v="1"/>
    <n v="69.599999999999994"/>
    <n v="69.599999999999994"/>
    <n v="104.11"/>
    <x v="2"/>
    <x v="0"/>
    <n v="96"/>
    <n v="3438"/>
    <s v="IBM Cloud"/>
    <x v="0"/>
    <x v="3"/>
    <s v="Non-Compliant"/>
    <n v="1"/>
    <s v="High"/>
    <s v="IBM Cognos"/>
    <n v="2"/>
    <n v="0"/>
    <s v="Yes"/>
  </r>
  <r>
    <x v="6"/>
    <x v="3"/>
    <n v="41"/>
    <n v="113.2"/>
    <n v="4689.5"/>
    <n v="5835.45"/>
    <x v="2"/>
    <x v="1"/>
    <n v="89"/>
    <n v="3380"/>
    <s v="IBM Cloud"/>
    <x v="1"/>
    <x v="3"/>
    <s v="Compliant"/>
    <n v="3"/>
    <s v="Low"/>
    <s v="SQL"/>
    <n v="2"/>
    <n v="0"/>
    <s v="Yes"/>
  </r>
  <r>
    <x v="11"/>
    <x v="5"/>
    <n v="13"/>
    <n v="90.5"/>
    <n v="1201.1500000000001"/>
    <n v="1650.74"/>
    <x v="2"/>
    <x v="1"/>
    <n v="76"/>
    <n v="5394"/>
    <s v="IBM Cloud"/>
    <x v="0"/>
    <x v="4"/>
    <s v="Compliant"/>
    <n v="5"/>
    <s v="High"/>
    <s v="Excel"/>
    <n v="1"/>
    <n v="1"/>
    <s v="No"/>
  </r>
  <r>
    <x v="12"/>
    <x v="8"/>
    <n v="32"/>
    <n v="85"/>
    <n v="2642.05"/>
    <n v="2784.16"/>
    <x v="2"/>
    <x v="0"/>
    <n v="94"/>
    <n v="4584"/>
    <s v="None"/>
    <x v="0"/>
    <x v="0"/>
    <s v="Compliant"/>
    <n v="1"/>
    <s v="Medium"/>
    <s v="Power BI"/>
    <n v="5"/>
    <n v="2"/>
    <s v="Yes"/>
  </r>
  <r>
    <x v="5"/>
    <x v="4"/>
    <n v="32"/>
    <n v="85.3"/>
    <n v="2661.1"/>
    <n v="4248.3"/>
    <x v="2"/>
    <x v="1"/>
    <n v="75"/>
    <n v="2712"/>
    <s v="Azure"/>
    <x v="0"/>
    <x v="2"/>
    <s v="Compliant"/>
    <n v="2"/>
    <s v="Low"/>
    <s v="IBM Cognos"/>
    <n v="4"/>
    <n v="0"/>
    <s v="No"/>
  </r>
  <r>
    <x v="7"/>
    <x v="0"/>
    <n v="57"/>
    <n v="44.85"/>
    <n v="2572.9499999999998"/>
    <n v="2560.88"/>
    <x v="1"/>
    <x v="1"/>
    <n v="82"/>
    <n v="5172"/>
    <s v="AWS"/>
    <x v="1"/>
    <x v="4"/>
    <s v="Compliant"/>
    <n v="4"/>
    <s v="Low"/>
    <s v="SQL"/>
    <n v="10"/>
    <n v="1"/>
    <s v="Yes"/>
  </r>
  <r>
    <x v="2"/>
    <x v="4"/>
    <n v="1"/>
    <n v="45.1"/>
    <n v="45.1"/>
    <n v="60.38"/>
    <x v="1"/>
    <x v="1"/>
    <n v="79"/>
    <n v="4499"/>
    <s v="Azure"/>
    <x v="1"/>
    <x v="1"/>
    <s v="Compliant"/>
    <n v="1"/>
    <s v="High"/>
    <s v="Excel"/>
    <n v="2"/>
    <n v="2"/>
    <s v="No"/>
  </r>
  <r>
    <x v="14"/>
    <x v="3"/>
    <n v="1"/>
    <n v="43.3"/>
    <n v="43.3"/>
    <n v="43.3"/>
    <x v="0"/>
    <x v="1"/>
    <n v="91"/>
    <n v="4972"/>
    <s v="Azure"/>
    <x v="0"/>
    <x v="4"/>
    <s v="Compliant"/>
    <n v="1"/>
    <s v="Medium"/>
    <s v="Power BI"/>
    <n v="3"/>
    <n v="1"/>
    <s v="No"/>
  </r>
  <r>
    <x v="10"/>
    <x v="3"/>
    <n v="38"/>
    <n v="57.15"/>
    <n v="2250.65"/>
    <n v="3242.45"/>
    <x v="2"/>
    <x v="0"/>
    <n v="75"/>
    <n v="3110"/>
    <s v="IBM Cloud"/>
    <x v="0"/>
    <x v="4"/>
    <s v="Compliant"/>
    <n v="3"/>
    <s v="High"/>
    <s v="Excel"/>
    <n v="7"/>
    <n v="0"/>
    <s v="No"/>
  </r>
  <r>
    <x v="9"/>
    <x v="7"/>
    <n v="35"/>
    <n v="100.5"/>
    <n v="3653.35"/>
    <n v="4212.6499999999996"/>
    <x v="2"/>
    <x v="0"/>
    <n v="81"/>
    <n v="4745"/>
    <s v="Azure"/>
    <x v="2"/>
    <x v="0"/>
    <s v="Compliant"/>
    <n v="5"/>
    <s v="Low"/>
    <s v="SQL"/>
    <n v="7"/>
    <n v="2"/>
    <s v="Yes"/>
  </r>
  <r>
    <x v="3"/>
    <x v="6"/>
    <n v="1"/>
    <n v="45.1"/>
    <n v="45.1"/>
    <n v="60.34"/>
    <x v="2"/>
    <x v="0"/>
    <n v="70"/>
    <n v="2740"/>
    <s v="AWS"/>
    <x v="0"/>
    <x v="1"/>
    <s v="Non-Compliant"/>
    <n v="4"/>
    <s v="High"/>
    <s v="Power BI"/>
    <n v="4"/>
    <n v="0"/>
    <s v="No"/>
  </r>
  <r>
    <x v="2"/>
    <x v="4"/>
    <n v="30"/>
    <n v="50.4"/>
    <n v="1527.5"/>
    <n v="1667"/>
    <x v="0"/>
    <x v="0"/>
    <n v="83"/>
    <n v="4795"/>
    <s v="Azure"/>
    <x v="2"/>
    <x v="4"/>
    <s v="Non-Compliant"/>
    <n v="2"/>
    <s v="High"/>
    <s v="Excel"/>
    <n v="5"/>
    <n v="2"/>
    <s v="No"/>
  </r>
  <r>
    <x v="7"/>
    <x v="7"/>
    <n v="5"/>
    <n v="78.95"/>
    <n v="378.4"/>
    <n v="439.75"/>
    <x v="0"/>
    <x v="0"/>
    <n v="65"/>
    <n v="4054"/>
    <s v="Azure"/>
    <x v="0"/>
    <x v="2"/>
    <s v="Compliant"/>
    <n v="4"/>
    <s v="Medium"/>
    <s v="IBM Cognos"/>
    <n v="5"/>
    <n v="2"/>
    <s v="No"/>
  </r>
  <r>
    <x v="15"/>
    <x v="7"/>
    <n v="1"/>
    <n v="93.55"/>
    <n v="93.55"/>
    <n v="123.72"/>
    <x v="2"/>
    <x v="0"/>
    <n v="81"/>
    <n v="5536"/>
    <s v="IBM Cloud"/>
    <x v="2"/>
    <x v="2"/>
    <s v="Compliant"/>
    <n v="2"/>
    <s v="Medium"/>
    <s v="Power BI"/>
    <n v="6"/>
    <n v="1"/>
    <s v="Yes"/>
  </r>
  <r>
    <x v="0"/>
    <x v="6"/>
    <n v="58"/>
    <n v="108.85"/>
    <n v="6287.25"/>
    <n v="9151.2900000000009"/>
    <x v="2"/>
    <x v="1"/>
    <n v="91"/>
    <n v="4739"/>
    <s v="IBM Cloud"/>
    <x v="1"/>
    <x v="3"/>
    <s v="Compliant"/>
    <n v="5"/>
    <s v="Low"/>
    <s v="Excel"/>
    <n v="9"/>
    <n v="2"/>
    <s v="Yes"/>
  </r>
  <r>
    <x v="5"/>
    <x v="8"/>
    <n v="16"/>
    <n v="84.75"/>
    <n v="1350.15"/>
    <n v="1630.31"/>
    <x v="1"/>
    <x v="0"/>
    <n v="91"/>
    <n v="5136"/>
    <s v="IBM Cloud"/>
    <x v="0"/>
    <x v="1"/>
    <s v="Compliant"/>
    <n v="2"/>
    <s v="High"/>
    <s v="SQL"/>
    <n v="2"/>
    <n v="1"/>
    <s v="Yes"/>
  </r>
  <r>
    <x v="15"/>
    <x v="5"/>
    <n v="1"/>
    <n v="69.95"/>
    <n v="69.95"/>
    <n v="102.45"/>
    <x v="1"/>
    <x v="0"/>
    <n v="94"/>
    <n v="3208"/>
    <s v="IBM Cloud"/>
    <x v="0"/>
    <x v="1"/>
    <s v="Compliant"/>
    <n v="3"/>
    <s v="High"/>
    <s v="SQL"/>
    <n v="5"/>
    <n v="0"/>
    <s v="Yes"/>
  </r>
  <r>
    <x v="11"/>
    <x v="1"/>
    <n v="5"/>
    <n v="81"/>
    <n v="371.65"/>
    <n v="577.41"/>
    <x v="2"/>
    <x v="1"/>
    <n v="91"/>
    <n v="4287"/>
    <s v="Azure"/>
    <x v="0"/>
    <x v="3"/>
    <s v="Compliant"/>
    <n v="3"/>
    <s v="High"/>
    <s v="Power BI"/>
    <n v="3"/>
    <n v="2"/>
    <s v="Yes"/>
  </r>
  <r>
    <x v="13"/>
    <x v="5"/>
    <n v="21"/>
    <n v="96.8"/>
    <n v="2030.3"/>
    <n v="2907.77"/>
    <x v="2"/>
    <x v="0"/>
    <n v="87"/>
    <n v="4317"/>
    <s v="Azure"/>
    <x v="0"/>
    <x v="4"/>
    <s v="Non-Compliant"/>
    <n v="3"/>
    <s v="Low"/>
    <s v="Excel"/>
    <n v="4"/>
    <n v="2"/>
    <s v="Yes"/>
  </r>
  <r>
    <x v="10"/>
    <x v="0"/>
    <n v="43"/>
    <n v="108.15"/>
    <n v="4600.7"/>
    <n v="5969.3899999999994"/>
    <x v="2"/>
    <x v="0"/>
    <n v="86"/>
    <n v="2833"/>
    <s v="IBM Cloud"/>
    <x v="2"/>
    <x v="1"/>
    <s v="Compliant"/>
    <n v="3"/>
    <s v="Low"/>
    <s v="Power BI"/>
    <n v="10"/>
    <n v="0"/>
    <s v="Yes"/>
  </r>
  <r>
    <x v="12"/>
    <x v="4"/>
    <n v="32"/>
    <n v="93.2"/>
    <n v="2931"/>
    <n v="3992.8"/>
    <x v="0"/>
    <x v="0"/>
    <n v="90"/>
    <n v="5247"/>
    <s v="AWS"/>
    <x v="0"/>
    <x v="2"/>
    <s v="Non-Compliant"/>
    <n v="4"/>
    <s v="Medium"/>
    <s v="Power BI"/>
    <n v="6"/>
    <n v="1"/>
    <s v="No"/>
  </r>
  <r>
    <x v="4"/>
    <x v="5"/>
    <n v="1"/>
    <n v="70.55"/>
    <n v="70.55"/>
    <n v="88.75"/>
    <x v="0"/>
    <x v="0"/>
    <n v="82"/>
    <n v="2146"/>
    <s v="IBM Cloud"/>
    <x v="1"/>
    <x v="2"/>
    <s v="Compliant"/>
    <n v="5"/>
    <s v="Medium"/>
    <s v="Excel"/>
    <n v="8"/>
    <n v="0"/>
    <s v="No"/>
  </r>
  <r>
    <x v="14"/>
    <x v="1"/>
    <n v="29"/>
    <n v="98.5"/>
    <n v="3004.15"/>
    <n v="3754.22"/>
    <x v="0"/>
    <x v="0"/>
    <n v="72"/>
    <n v="5137"/>
    <s v="IBM Cloud"/>
    <x v="1"/>
    <x v="0"/>
    <s v="Compliant"/>
    <n v="2"/>
    <s v="Medium"/>
    <s v="Excel"/>
    <n v="1"/>
    <n v="1"/>
    <s v="No"/>
  </r>
  <r>
    <x v="10"/>
    <x v="9"/>
    <n v="13"/>
    <n v="95.25"/>
    <n v="1233.6500000000001"/>
    <n v="1597.66"/>
    <x v="2"/>
    <x v="1"/>
    <n v="90"/>
    <n v="2982"/>
    <s v="IBM Cloud"/>
    <x v="0"/>
    <x v="1"/>
    <s v="Compliant"/>
    <n v="2"/>
    <s v="High"/>
    <s v="IBM Cognos"/>
    <n v="10"/>
    <n v="0"/>
    <s v="Yes"/>
  </r>
  <r>
    <x v="4"/>
    <x v="4"/>
    <n v="7"/>
    <n v="74.400000000000006"/>
    <n v="527.9"/>
    <n v="557.88"/>
    <x v="0"/>
    <x v="0"/>
    <n v="96"/>
    <n v="4969"/>
    <s v="IBM Cloud"/>
    <x v="1"/>
    <x v="4"/>
    <s v="Non-Compliant"/>
    <n v="3"/>
    <s v="High"/>
    <s v="Excel"/>
    <n v="8"/>
    <n v="1"/>
    <s v="No"/>
  </r>
  <r>
    <x v="11"/>
    <x v="1"/>
    <n v="2"/>
    <n v="88.55"/>
    <n v="179.25"/>
    <n v="222.39"/>
    <x v="2"/>
    <x v="0"/>
    <n v="80"/>
    <n v="3685"/>
    <s v="None"/>
    <x v="0"/>
    <x v="3"/>
    <s v="Compliant"/>
    <n v="3"/>
    <s v="Medium"/>
    <s v="SQL"/>
    <n v="7"/>
    <n v="2"/>
    <s v="Yes"/>
  </r>
  <r>
    <x v="11"/>
    <x v="7"/>
    <n v="1"/>
    <n v="91.3"/>
    <n v="91.3"/>
    <n v="134.91"/>
    <x v="0"/>
    <x v="1"/>
    <n v="71"/>
    <n v="2371"/>
    <s v="IBM Cloud"/>
    <x v="0"/>
    <x v="3"/>
    <s v="Compliant"/>
    <n v="1"/>
    <s v="High"/>
    <s v="Power BI"/>
    <n v="1"/>
    <n v="0"/>
    <s v="No"/>
  </r>
  <r>
    <x v="14"/>
    <x v="3"/>
    <n v="7"/>
    <n v="70.099999999999994"/>
    <n v="467.55"/>
    <n v="559.66999999999996"/>
    <x v="1"/>
    <x v="0"/>
    <n v="83"/>
    <n v="3669"/>
    <s v="AWS"/>
    <x v="1"/>
    <x v="4"/>
    <s v="Compliant"/>
    <n v="5"/>
    <s v="Medium"/>
    <s v="Power BI"/>
    <n v="2"/>
    <n v="2"/>
    <s v="Yes"/>
  </r>
  <r>
    <x v="1"/>
    <x v="8"/>
    <n v="57"/>
    <n v="95.25"/>
    <n v="5427.05"/>
    <n v="8259.33"/>
    <x v="1"/>
    <x v="0"/>
    <n v="86"/>
    <n v="6259"/>
    <s v="Azure"/>
    <x v="0"/>
    <x v="0"/>
    <s v="Compliant"/>
    <n v="4"/>
    <s v="Low"/>
    <s v="SQL"/>
    <n v="3"/>
    <n v="1"/>
    <s v="Yes"/>
  </r>
  <r>
    <x v="0"/>
    <x v="0"/>
    <n v="1"/>
    <n v="100.8"/>
    <n v="100.8"/>
    <n v="118.15"/>
    <x v="2"/>
    <x v="0"/>
    <n v="65"/>
    <n v="3128"/>
    <s v="IBM Cloud"/>
    <x v="1"/>
    <x v="3"/>
    <s v="Compliant"/>
    <n v="2"/>
    <s v="Medium"/>
    <s v="Excel"/>
    <n v="1"/>
    <n v="0"/>
    <s v="No"/>
  </r>
  <r>
    <x v="6"/>
    <x v="1"/>
    <n v="17"/>
    <n v="76.45"/>
    <n v="1233.4000000000001"/>
    <n v="1251.25"/>
    <x v="2"/>
    <x v="1"/>
    <n v="92"/>
    <n v="3266"/>
    <s v="None"/>
    <x v="2"/>
    <x v="1"/>
    <s v="Non-Compliant"/>
    <n v="1"/>
    <s v="Low"/>
    <s v="SQL"/>
    <n v="9"/>
    <n v="0"/>
    <s v="Yes"/>
  </r>
  <r>
    <x v="15"/>
    <x v="5"/>
    <n v="3"/>
    <n v="86.85"/>
    <n v="220.95"/>
    <n v="276.08999999999997"/>
    <x v="1"/>
    <x v="0"/>
    <n v="70"/>
    <n v="3561"/>
    <s v="None"/>
    <x v="0"/>
    <x v="0"/>
    <s v="Compliant"/>
    <n v="1"/>
    <s v="High"/>
    <s v="SQL"/>
    <n v="8"/>
    <n v="0"/>
    <s v="No"/>
  </r>
  <r>
    <x v="13"/>
    <x v="3"/>
    <n v="66"/>
    <n v="99.5"/>
    <n v="6822.15"/>
    <n v="8726.91"/>
    <x v="2"/>
    <x v="1"/>
    <n v="96"/>
    <n v="4479"/>
    <s v="IBM Cloud"/>
    <x v="2"/>
    <x v="1"/>
    <s v="Compliant"/>
    <n v="2"/>
    <s v="Medium"/>
    <s v="IBM Cognos"/>
    <n v="2"/>
    <n v="2"/>
    <s v="Yes"/>
  </r>
  <r>
    <x v="12"/>
    <x v="5"/>
    <n v="69"/>
    <n v="108.4"/>
    <n v="7318.2"/>
    <n v="10690.92"/>
    <x v="0"/>
    <x v="1"/>
    <n v="73"/>
    <n v="4708"/>
    <s v="IBM Cloud"/>
    <x v="1"/>
    <x v="2"/>
    <s v="Compliant"/>
    <n v="4"/>
    <s v="High"/>
    <s v="SQL"/>
    <n v="9"/>
    <n v="2"/>
    <s v="No"/>
  </r>
  <r>
    <x v="9"/>
    <x v="4"/>
    <n v="15"/>
    <n v="83.05"/>
    <n v="1258.3"/>
    <n v="2030.25"/>
    <x v="0"/>
    <x v="0"/>
    <n v="70"/>
    <n v="2596"/>
    <s v="IBM Cloud"/>
    <x v="2"/>
    <x v="0"/>
    <s v="Non-Compliant"/>
    <n v="1"/>
    <s v="Low"/>
    <s v="Power BI"/>
    <n v="7"/>
    <n v="0"/>
    <s v="No"/>
  </r>
  <r>
    <x v="11"/>
    <x v="1"/>
    <n v="56"/>
    <n v="104.75"/>
    <n v="5510.65"/>
    <n v="7447.1299999999992"/>
    <x v="0"/>
    <x v="1"/>
    <n v="93"/>
    <n v="5605"/>
    <s v="IBM Cloud"/>
    <x v="2"/>
    <x v="3"/>
    <s v="Compliant"/>
    <n v="1"/>
    <s v="Low"/>
    <s v="SQL"/>
    <n v="9"/>
    <n v="1"/>
    <s v="No"/>
  </r>
  <r>
    <x v="13"/>
    <x v="5"/>
    <n v="21"/>
    <n v="94.25"/>
    <n v="1973.75"/>
    <n v="2417.9"/>
    <x v="1"/>
    <x v="1"/>
    <n v="73"/>
    <n v="4819"/>
    <s v="IBM Cloud"/>
    <x v="1"/>
    <x v="0"/>
    <s v="Compliant"/>
    <n v="5"/>
    <s v="Low"/>
    <s v="Power BI"/>
    <n v="6"/>
    <n v="2"/>
    <s v="No"/>
  </r>
  <r>
    <x v="3"/>
    <x v="6"/>
    <n v="1"/>
    <n v="70.150000000000006"/>
    <n v="70.150000000000006"/>
    <n v="118.12"/>
    <x v="1"/>
    <x v="0"/>
    <n v="71"/>
    <n v="2825"/>
    <s v="AWS"/>
    <x v="2"/>
    <x v="0"/>
    <s v="Compliant"/>
    <n v="4"/>
    <s v="High"/>
    <s v="Power BI"/>
    <n v="6"/>
    <n v="0"/>
    <s v="No"/>
  </r>
  <r>
    <x v="8"/>
    <x v="2"/>
    <n v="32"/>
    <n v="106.35"/>
    <n v="3520.75"/>
    <n v="3774.19"/>
    <x v="1"/>
    <x v="0"/>
    <n v="65"/>
    <n v="4113"/>
    <s v="AWS"/>
    <x v="2"/>
    <x v="0"/>
    <s v="Compliant"/>
    <n v="1"/>
    <s v="High"/>
    <s v="Power BI"/>
    <n v="4"/>
    <n v="2"/>
    <s v="No"/>
  </r>
  <r>
    <x v="9"/>
    <x v="3"/>
    <n v="40"/>
    <n v="94.55"/>
    <n v="3640.45"/>
    <n v="5620.45"/>
    <x v="2"/>
    <x v="0"/>
    <n v="95"/>
    <n v="5676"/>
    <s v="IBM Cloud"/>
    <x v="1"/>
    <x v="0"/>
    <s v="Compliant"/>
    <n v="4"/>
    <s v="High"/>
    <s v="Excel"/>
    <n v="10"/>
    <n v="1"/>
    <s v="Yes"/>
  </r>
  <r>
    <x v="6"/>
    <x v="9"/>
    <n v="2"/>
    <n v="24.45"/>
    <n v="47.5"/>
    <n v="47.5"/>
    <x v="0"/>
    <x v="1"/>
    <n v="77"/>
    <n v="5573"/>
    <s v="IBM Cloud"/>
    <x v="2"/>
    <x v="1"/>
    <s v="Compliant"/>
    <n v="2"/>
    <s v="High"/>
    <s v="IBM Cognos"/>
    <n v="10"/>
    <n v="1"/>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d v="2021-12-11T00:00:00"/>
    <n v="49.25"/>
    <n v="10"/>
    <n v="91.1"/>
    <n v="179.08"/>
    <n v="2"/>
    <s v="Yes"/>
    <n v="95"/>
    <n v="3475"/>
    <s v="None"/>
    <s v="Low"/>
    <x v="0"/>
    <s v="Compliant"/>
    <n v="2"/>
    <s v="Low"/>
    <s v="SQL"/>
    <n v="3"/>
    <s v="Yes"/>
  </r>
  <r>
    <x v="1"/>
    <x v="1"/>
    <x v="1"/>
    <d v="2021-12-14T00:00:00"/>
    <n v="85.6"/>
    <n v="13"/>
    <n v="1345.55"/>
    <n v="2024.3"/>
    <n v="1"/>
    <s v="Yes"/>
    <n v="83"/>
    <n v="4981"/>
    <s v="AWS"/>
    <s v="Low"/>
    <x v="1"/>
    <s v="Compliant"/>
    <n v="3"/>
    <s v="High"/>
    <s v="Excel"/>
    <n v="8"/>
    <s v="Yes"/>
  </r>
  <r>
    <x v="2"/>
    <x v="2"/>
    <x v="2"/>
    <d v="2021-12-04T00:00:00"/>
    <n v="86.85"/>
    <n v="14"/>
    <n v="220.95"/>
    <n v="276.08999999999997"/>
    <n v="2"/>
    <s v="No"/>
    <n v="70"/>
    <n v="3561"/>
    <s v="None"/>
    <s v="High"/>
    <x v="1"/>
    <s v="Compliant"/>
    <n v="1"/>
    <s v="High"/>
    <s v="SQL"/>
    <n v="8"/>
    <s v="No"/>
  </r>
  <r>
    <x v="3"/>
    <x v="1"/>
    <x v="3"/>
    <d v="2021-12-28T00:00:00"/>
    <n v="25.2"/>
    <n v="6"/>
    <n v="25.2"/>
    <n v="25.2"/>
    <n v="1"/>
    <s v="Yes"/>
    <n v="67"/>
    <n v="5688"/>
    <s v="IBM Cloud"/>
    <s v="High"/>
    <x v="2"/>
    <s v="Compliant"/>
    <n v="2"/>
    <s v="Medium"/>
    <s v="SQL"/>
    <n v="5"/>
    <s v="No"/>
  </r>
  <r>
    <x v="4"/>
    <x v="2"/>
    <x v="4"/>
    <d v="2021-12-19T00:00:00"/>
    <n v="88.8"/>
    <n v="0"/>
    <n v="88.8"/>
    <n v="148.4"/>
    <n v="1"/>
    <s v="No"/>
    <n v="91"/>
    <n v="3106"/>
    <s v="AWS"/>
    <s v="High"/>
    <x v="0"/>
    <s v="Compliant"/>
    <n v="2"/>
    <s v="Low"/>
    <s v="IBM Cognos"/>
    <n v="10"/>
    <s v="Yes"/>
  </r>
  <r>
    <x v="5"/>
    <x v="0"/>
    <x v="5"/>
    <d v="2021-12-07T00:00:00"/>
    <n v="74.400000000000006"/>
    <n v="10"/>
    <n v="1074.3"/>
    <n v="1510.95"/>
    <n v="1"/>
    <s v="Yes"/>
    <n v="86"/>
    <n v="4616"/>
    <s v="None"/>
    <s v="Low"/>
    <x v="1"/>
    <s v="Non-Compliant"/>
    <n v="3"/>
    <s v="Medium"/>
    <s v="Excel"/>
    <n v="2"/>
    <s v="Yes"/>
  </r>
  <r>
    <x v="6"/>
    <x v="3"/>
    <x v="6"/>
    <d v="2021-12-22T00:00:00"/>
    <n v="49.15"/>
    <n v="22"/>
    <n v="2550.9"/>
    <n v="2580.9"/>
    <n v="2"/>
    <s v="Yes"/>
    <n v="90"/>
    <n v="5597"/>
    <s v="IBM Cloud"/>
    <s v="Medium"/>
    <x v="0"/>
    <s v="Compliant"/>
    <n v="4"/>
    <s v="High"/>
    <s v="Power BI"/>
    <n v="7"/>
    <s v="Yes"/>
  </r>
  <r>
    <x v="6"/>
    <x v="3"/>
    <x v="7"/>
    <d v="2021-12-19T00:00:00"/>
    <n v="74.349999999999994"/>
    <n v="4"/>
    <n v="334.8"/>
    <n v="563.6"/>
    <n v="1"/>
    <s v="No"/>
    <n v="82"/>
    <n v="5273"/>
    <s v="IBM Cloud"/>
    <s v="Low"/>
    <x v="3"/>
    <s v="Compliant"/>
    <n v="1"/>
    <s v="Low"/>
    <s v="Power BI"/>
    <n v="1"/>
    <s v="Yes"/>
  </r>
  <r>
    <x v="7"/>
    <x v="1"/>
    <x v="8"/>
    <d v="2021-12-12T00:00:00"/>
    <n v="30.35"/>
    <n v="18"/>
    <n v="1359.7"/>
    <n v="1359.7"/>
    <n v="1"/>
    <s v="Yes"/>
    <n v="96"/>
    <n v="4829"/>
    <s v="IBM Cloud"/>
    <s v="High"/>
    <x v="1"/>
    <s v="Compliant"/>
    <n v="2"/>
    <s v="Low"/>
    <s v="Power BI"/>
    <n v="1"/>
    <s v="Yes"/>
  </r>
  <r>
    <x v="3"/>
    <x v="4"/>
    <x v="9"/>
    <d v="2021-12-16T00:00:00"/>
    <n v="25.8"/>
    <n v="10"/>
    <n v="25.8"/>
    <n v="45.8"/>
    <n v="1"/>
    <s v="No"/>
    <n v="90"/>
    <n v="3884"/>
    <s v="AWS"/>
    <s v="Medium"/>
    <x v="2"/>
    <s v="Non-Compliant"/>
    <n v="1"/>
    <s v="High"/>
    <s v="Power BI"/>
    <n v="6"/>
    <s v="Yes"/>
  </r>
  <r>
    <x v="8"/>
    <x v="5"/>
    <x v="10"/>
    <d v="2021-12-07T00:00:00"/>
    <n v="110"/>
    <n v="9"/>
    <n v="4874.8"/>
    <n v="4983.8200000000006"/>
    <n v="1"/>
    <s v="Yes"/>
    <n v="81"/>
    <n v="2403"/>
    <s v="AWS"/>
    <s v="Low"/>
    <x v="3"/>
    <s v="Compliant"/>
    <n v="3"/>
    <s v="Low"/>
    <s v="Excel"/>
    <n v="8"/>
    <s v="Yes"/>
  </r>
  <r>
    <x v="3"/>
    <x v="2"/>
    <x v="11"/>
    <d v="2021-12-08T00:00:00"/>
    <n v="69.95"/>
    <n v="1"/>
    <n v="69.95"/>
    <n v="102.45"/>
    <n v="2"/>
    <s v="No"/>
    <n v="94"/>
    <n v="3208"/>
    <s v="IBM Cloud"/>
    <s v="High"/>
    <x v="4"/>
    <s v="Compliant"/>
    <n v="3"/>
    <s v="High"/>
    <s v="SQL"/>
    <n v="5"/>
    <s v="Yes"/>
  </r>
  <r>
    <x v="0"/>
    <x v="6"/>
    <x v="12"/>
    <d v="2021-12-15T00:00:00"/>
    <n v="94.1"/>
    <n v="17"/>
    <n v="1782.4"/>
    <n v="2837"/>
    <n v="1"/>
    <s v="Yes"/>
    <n v="87"/>
    <n v="2666"/>
    <s v="AWS"/>
    <s v="Low"/>
    <x v="1"/>
    <s v="Compliant"/>
    <n v="4"/>
    <s v="Medium"/>
    <s v="Power BI"/>
    <n v="7"/>
    <s v="Yes"/>
  </r>
  <r>
    <x v="9"/>
    <x v="5"/>
    <x v="7"/>
    <d v="2021-12-19T00:00:00"/>
    <n v="110.75"/>
    <n v="4"/>
    <n v="4687.8999999999996"/>
    <n v="5312.2599999999993"/>
    <n v="2"/>
    <s v="Yes"/>
    <n v="65"/>
    <n v="2728"/>
    <s v="IBM Cloud"/>
    <s v="Medium"/>
    <x v="4"/>
    <s v="Compliant"/>
    <n v="5"/>
    <s v="High"/>
    <s v="Excel"/>
    <n v="6"/>
    <s v="No"/>
  </r>
  <r>
    <x v="10"/>
    <x v="3"/>
    <x v="13"/>
    <d v="2021-12-08T00:00:00"/>
    <n v="81"/>
    <n v="13"/>
    <n v="371.65"/>
    <n v="577.41"/>
    <n v="1"/>
    <s v="Yes"/>
    <n v="91"/>
    <n v="4287"/>
    <s v="Azure"/>
    <s v="High"/>
    <x v="3"/>
    <s v="Compliant"/>
    <n v="3"/>
    <s v="High"/>
    <s v="Power BI"/>
    <n v="3"/>
    <s v="Yes"/>
  </r>
  <r>
    <x v="6"/>
    <x v="7"/>
    <x v="14"/>
    <d v="2021-12-12T00:00:00"/>
    <n v="79.400000000000006"/>
    <n v="15"/>
    <n v="205.05"/>
    <n v="330.75"/>
    <n v="1"/>
    <s v="No"/>
    <n v="91"/>
    <n v="3501"/>
    <s v="None"/>
    <s v="High"/>
    <x v="4"/>
    <s v="Compliant"/>
    <n v="3"/>
    <s v="High"/>
    <s v="IBM Cognos"/>
    <n v="1"/>
    <s v="Yes"/>
  </r>
  <r>
    <x v="2"/>
    <x v="4"/>
    <x v="15"/>
    <d v="2021-12-13T00:00:00"/>
    <n v="84.75"/>
    <n v="9"/>
    <n v="1350.15"/>
    <n v="1630.31"/>
    <n v="2"/>
    <s v="No"/>
    <n v="91"/>
    <n v="5136"/>
    <s v="IBM Cloud"/>
    <s v="High"/>
    <x v="4"/>
    <s v="Compliant"/>
    <n v="2"/>
    <s v="High"/>
    <s v="SQL"/>
    <n v="2"/>
    <s v="Yes"/>
  </r>
  <r>
    <x v="0"/>
    <x v="7"/>
    <x v="16"/>
    <d v="2021-12-05T00:00:00"/>
    <n v="74.400000000000006"/>
    <n v="1"/>
    <n v="527.9"/>
    <n v="557.88"/>
    <n v="3"/>
    <s v="No"/>
    <n v="96"/>
    <n v="4969"/>
    <s v="IBM Cloud"/>
    <s v="Low"/>
    <x v="0"/>
    <s v="Non-Compliant"/>
    <n v="3"/>
    <s v="High"/>
    <s v="Excel"/>
    <n v="8"/>
    <s v="No"/>
  </r>
  <r>
    <x v="8"/>
    <x v="0"/>
    <x v="17"/>
    <d v="2021-12-22T00:00:00"/>
    <n v="84.6"/>
    <n v="4"/>
    <n v="360.1"/>
    <n v="386.82000000000011"/>
    <n v="1"/>
    <s v="No"/>
    <n v="83"/>
    <n v="2467"/>
    <s v="IBM Cloud"/>
    <s v="High"/>
    <x v="2"/>
    <s v="Compliant"/>
    <n v="1"/>
    <s v="Medium"/>
    <s v="SQL"/>
    <n v="2"/>
    <s v="Yes"/>
  </r>
  <r>
    <x v="9"/>
    <x v="8"/>
    <x v="18"/>
    <d v="2021-12-20T00:00:00"/>
    <n v="19.649999999999999"/>
    <n v="14"/>
    <n v="164.3"/>
    <n v="387.9"/>
    <n v="2"/>
    <s v="Yes"/>
    <n v="83"/>
    <n v="5432"/>
    <s v="IBM Cloud"/>
    <s v="High"/>
    <x v="3"/>
    <s v="Compliant"/>
    <n v="3"/>
    <s v="Low"/>
    <s v="Excel"/>
    <n v="1"/>
    <s v="Yes"/>
  </r>
  <r>
    <x v="11"/>
    <x v="3"/>
    <x v="19"/>
    <d v="2021-12-16T00:00:00"/>
    <n v="76.45"/>
    <n v="15"/>
    <n v="1233.4000000000001"/>
    <n v="1251.25"/>
    <n v="1"/>
    <s v="Yes"/>
    <n v="92"/>
    <n v="3266"/>
    <s v="None"/>
    <s v="Medium"/>
    <x v="4"/>
    <s v="Non-Compliant"/>
    <n v="1"/>
    <s v="Low"/>
    <s v="SQL"/>
    <n v="9"/>
    <s v="Yes"/>
  </r>
  <r>
    <x v="12"/>
    <x v="1"/>
    <x v="20"/>
    <d v="2021-12-22T00:00:00"/>
    <n v="106.9"/>
    <n v="14"/>
    <n v="1364.3"/>
    <n v="1799.14"/>
    <n v="1"/>
    <s v="No"/>
    <n v="84"/>
    <n v="2494"/>
    <s v="IBM Cloud"/>
    <s v="Medium"/>
    <x v="2"/>
    <s v="Compliant"/>
    <n v="1"/>
    <s v="Medium"/>
    <s v="SQL"/>
    <n v="3"/>
    <s v="Yes"/>
  </r>
  <r>
    <x v="0"/>
    <x v="0"/>
    <x v="21"/>
    <d v="2021-12-10T00:00:00"/>
    <n v="44.85"/>
    <n v="3"/>
    <n v="2572.9499999999998"/>
    <n v="2560.88"/>
    <n v="2"/>
    <s v="Yes"/>
    <n v="82"/>
    <n v="5172"/>
    <s v="AWS"/>
    <s v="Low"/>
    <x v="0"/>
    <s v="Compliant"/>
    <n v="4"/>
    <s v="Low"/>
    <s v="SQL"/>
    <n v="10"/>
    <s v="Yes"/>
  </r>
  <r>
    <x v="0"/>
    <x v="4"/>
    <x v="22"/>
    <d v="2021-12-15T00:00:00"/>
    <n v="75.650000000000006"/>
    <n v="12"/>
    <n v="1146.6500000000001"/>
    <n v="1842.35"/>
    <n v="3"/>
    <s v="Yes"/>
    <n v="96"/>
    <n v="2099"/>
    <s v="Azure"/>
    <s v="Medium"/>
    <x v="3"/>
    <s v="Compliant"/>
    <n v="5"/>
    <s v="High"/>
    <s v="Excel"/>
    <n v="4"/>
    <s v="No"/>
  </r>
  <r>
    <x v="13"/>
    <x v="1"/>
    <x v="23"/>
    <d v="2021-12-11T00:00:00"/>
    <n v="41.9"/>
    <n v="9"/>
    <n v="840.1"/>
    <n v="840.1"/>
    <n v="1"/>
    <s v="Yes"/>
    <n v="90"/>
    <n v="4778"/>
    <s v="IBM Cloud"/>
    <s v="Low"/>
    <x v="0"/>
    <s v="Compliant"/>
    <n v="4"/>
    <s v="High"/>
    <s v="IBM Cognos"/>
    <n v="1"/>
    <s v="Yes"/>
  </r>
  <r>
    <x v="8"/>
    <x v="3"/>
    <x v="24"/>
    <d v="2021-12-09T00:00:00"/>
    <n v="85.45"/>
    <n v="21"/>
    <n v="4874.7"/>
    <n v="7319.7999999999993"/>
    <n v="1"/>
    <s v="No"/>
    <n v="91"/>
    <n v="5502"/>
    <s v="IBM Cloud"/>
    <s v="Low"/>
    <x v="1"/>
    <s v="Compliant"/>
    <n v="2"/>
    <s v="High"/>
    <s v="SQL"/>
    <n v="10"/>
    <s v="Yes"/>
  </r>
  <r>
    <x v="14"/>
    <x v="1"/>
    <x v="25"/>
    <d v="2021-12-26T00:00:00"/>
    <n v="98.5"/>
    <n v="2"/>
    <n v="2514.5"/>
    <n v="2995.07"/>
    <n v="2"/>
    <s v="No"/>
    <n v="88"/>
    <n v="5337"/>
    <s v="AWS"/>
    <s v="Medium"/>
    <x v="1"/>
    <s v="Compliant"/>
    <n v="5"/>
    <s v="Medium"/>
    <s v="Excel"/>
    <n v="9"/>
    <s v="Yes"/>
  </r>
  <r>
    <x v="3"/>
    <x v="6"/>
    <x v="26"/>
    <d v="2021-12-08T00:00:00"/>
    <n v="94.55"/>
    <n v="18"/>
    <n v="1899.65"/>
    <n v="2005.85"/>
    <n v="1"/>
    <s v="Yes"/>
    <n v="84"/>
    <n v="5604"/>
    <s v="IBM Cloud"/>
    <s v="Low"/>
    <x v="3"/>
    <s v="Compliant"/>
    <n v="2"/>
    <s v="Low"/>
    <s v="Excel"/>
    <n v="1"/>
    <s v="Yes"/>
  </r>
  <r>
    <x v="13"/>
    <x v="0"/>
    <x v="27"/>
    <d v="2021-12-05T00:00:00"/>
    <n v="81.349999999999994"/>
    <n v="19"/>
    <n v="233.7"/>
    <n v="261.36"/>
    <n v="1"/>
    <s v="No"/>
    <n v="73"/>
    <n v="2818"/>
    <s v="AWS"/>
    <s v="Low"/>
    <x v="1"/>
    <s v="Compliant"/>
    <n v="3"/>
    <s v="Medium"/>
    <s v="IBM Cognos"/>
    <n v="2"/>
    <s v="No"/>
  </r>
  <r>
    <x v="7"/>
    <x v="8"/>
    <x v="28"/>
    <d v="2021-12-10T00:00:00"/>
    <n v="85.35"/>
    <n v="23"/>
    <n v="1463.45"/>
    <n v="2089.39"/>
    <n v="1"/>
    <s v="Yes"/>
    <n v="90"/>
    <n v="3209"/>
    <s v="None"/>
    <s v="Low"/>
    <x v="1"/>
    <s v="Compliant"/>
    <n v="5"/>
    <s v="High"/>
    <s v="IBM Cognos"/>
    <n v="7"/>
    <s v="Yes"/>
  </r>
  <r>
    <x v="14"/>
    <x v="7"/>
    <x v="29"/>
    <d v="2021-12-18T00:00:00"/>
    <n v="74.45"/>
    <n v="12"/>
    <n v="1145.7"/>
    <n v="1806.75"/>
    <n v="2"/>
    <s v="No"/>
    <n v="91"/>
    <n v="5717"/>
    <s v="AWS"/>
    <s v="Low"/>
    <x v="4"/>
    <s v="Compliant"/>
    <n v="5"/>
    <s v="Low"/>
    <s v="SQL"/>
    <n v="6"/>
    <s v="Yes"/>
  </r>
  <r>
    <x v="15"/>
    <x v="6"/>
    <x v="30"/>
    <d v="2021-12-15T00:00:00"/>
    <n v="92.1"/>
    <n v="19"/>
    <n v="729.95"/>
    <n v="1073.3900000000001"/>
    <n v="1"/>
    <s v="Yes"/>
    <n v="81"/>
    <n v="5662"/>
    <s v="Azure"/>
    <s v="High"/>
    <x v="2"/>
    <s v="Non-Compliant"/>
    <n v="2"/>
    <s v="High"/>
    <s v="SQL"/>
    <n v="3"/>
    <s v="Yes"/>
  </r>
  <r>
    <x v="2"/>
    <x v="1"/>
    <x v="31"/>
    <d v="2021-12-11T00:00:00"/>
    <n v="99.05"/>
    <n v="1"/>
    <n v="3395.8"/>
    <n v="4244.8500000000004"/>
    <n v="1"/>
    <s v="No"/>
    <n v="82"/>
    <n v="2074"/>
    <s v="IBM Cloud"/>
    <s v="Low"/>
    <x v="4"/>
    <s v="Compliant"/>
    <n v="5"/>
    <s v="Low"/>
    <s v="Power BI"/>
    <n v="6"/>
    <s v="Yes"/>
  </r>
  <r>
    <x v="0"/>
    <x v="9"/>
    <x v="32"/>
    <d v="2021-12-18T00:00:00"/>
    <n v="88.3"/>
    <n v="7"/>
    <n v="273.75"/>
    <n v="351.06"/>
    <n v="1"/>
    <s v="Yes"/>
    <n v="68"/>
    <n v="4486"/>
    <s v="IBM Cloud"/>
    <s v="Low"/>
    <x v="3"/>
    <s v="Non-Compliant"/>
    <n v="5"/>
    <s v="Low"/>
    <s v="SQL"/>
    <n v="10"/>
    <s v="No"/>
  </r>
  <r>
    <x v="11"/>
    <x v="0"/>
    <x v="33"/>
    <d v="2021-12-13T00:00:00"/>
    <n v="95.05"/>
    <n v="10"/>
    <n v="1290"/>
    <n v="1537.39"/>
    <n v="1"/>
    <s v="Yes"/>
    <n v="90"/>
    <n v="2230"/>
    <s v="IBM Cloud"/>
    <s v="High"/>
    <x v="3"/>
    <s v="Non-Compliant"/>
    <n v="5"/>
    <s v="High"/>
    <s v="SQL"/>
    <n v="3"/>
    <s v="Yes"/>
  </r>
  <r>
    <x v="6"/>
    <x v="2"/>
    <x v="25"/>
    <d v="2021-12-26T00:00:00"/>
    <n v="89.05"/>
    <n v="2"/>
    <n v="1169.3499999999999"/>
    <n v="1188.46"/>
    <n v="1"/>
    <s v="No"/>
    <n v="82"/>
    <n v="3861"/>
    <s v="IBM Cloud"/>
    <s v="Low"/>
    <x v="1"/>
    <s v="Compliant"/>
    <n v="1"/>
    <s v="Medium"/>
    <s v="IBM Cognos"/>
    <n v="7"/>
    <s v="Yes"/>
  </r>
  <r>
    <x v="8"/>
    <x v="0"/>
    <x v="34"/>
    <d v="2021-12-21T00:00:00"/>
    <n v="108.15"/>
    <n v="14"/>
    <n v="4600.7"/>
    <n v="5969.3899999999994"/>
    <n v="1"/>
    <s v="No"/>
    <n v="86"/>
    <n v="2833"/>
    <s v="IBM Cloud"/>
    <s v="Medium"/>
    <x v="4"/>
    <s v="Compliant"/>
    <n v="3"/>
    <s v="Low"/>
    <s v="Power BI"/>
    <n v="10"/>
    <s v="Yes"/>
  </r>
  <r>
    <x v="13"/>
    <x v="2"/>
    <x v="35"/>
    <d v="2021-12-28T00:00:00"/>
    <n v="108.4"/>
    <n v="13"/>
    <n v="7318.2"/>
    <n v="10690.92"/>
    <n v="3"/>
    <s v="Yes"/>
    <n v="73"/>
    <n v="4708"/>
    <s v="IBM Cloud"/>
    <s v="Low"/>
    <x v="2"/>
    <s v="Compliant"/>
    <n v="4"/>
    <s v="High"/>
    <s v="SQL"/>
    <n v="9"/>
    <s v="No"/>
  </r>
  <r>
    <x v="5"/>
    <x v="1"/>
    <x v="36"/>
    <d v="2021-12-02T00:00:00"/>
    <n v="106.35"/>
    <n v="5"/>
    <n v="3520.75"/>
    <n v="3774.19"/>
    <n v="2"/>
    <s v="No"/>
    <n v="65"/>
    <n v="4113"/>
    <s v="AWS"/>
    <s v="Medium"/>
    <x v="1"/>
    <s v="Compliant"/>
    <n v="1"/>
    <s v="High"/>
    <s v="Power BI"/>
    <n v="4"/>
    <s v="No"/>
  </r>
  <r>
    <x v="4"/>
    <x v="4"/>
    <x v="37"/>
    <d v="2021-12-02T00:00:00"/>
    <n v="94.5"/>
    <n v="11"/>
    <n v="3105.55"/>
    <n v="4022.29"/>
    <n v="3"/>
    <s v="No"/>
    <n v="91"/>
    <n v="4333"/>
    <s v="IBM Cloud"/>
    <s v="Low"/>
    <x v="0"/>
    <s v="Compliant"/>
    <n v="2"/>
    <s v="Medium"/>
    <s v="Excel"/>
    <n v="8"/>
    <s v="No"/>
  </r>
  <r>
    <x v="4"/>
    <x v="6"/>
    <x v="38"/>
    <d v="2021-12-02T00:00:00"/>
    <n v="24.45"/>
    <n v="1"/>
    <n v="47.5"/>
    <n v="47.5"/>
    <n v="3"/>
    <s v="Yes"/>
    <n v="77"/>
    <n v="5573"/>
    <s v="IBM Cloud"/>
    <s v="Medium"/>
    <x v="4"/>
    <s v="Compliant"/>
    <n v="2"/>
    <s v="High"/>
    <s v="IBM Cognos"/>
    <n v="10"/>
    <s v="No"/>
  </r>
  <r>
    <x v="4"/>
    <x v="1"/>
    <x v="39"/>
    <d v="2021-12-02T00:00:00"/>
    <n v="43.65"/>
    <n v="8"/>
    <n v="526.95000000000005"/>
    <n v="526.95000000000005"/>
    <n v="1"/>
    <s v="Yes"/>
    <n v="74"/>
    <n v="2437"/>
    <s v="None"/>
    <s v="Medium"/>
    <x v="1"/>
    <s v="Compliant"/>
    <n v="2"/>
    <s v="Low"/>
    <s v="SQL"/>
    <n v="1"/>
    <s v="No"/>
  </r>
  <r>
    <x v="6"/>
    <x v="3"/>
    <x v="40"/>
    <d v="2021-12-11T00:00:00"/>
    <n v="94.3"/>
    <n v="11"/>
    <n v="424.45"/>
    <n v="622.45000000000005"/>
    <n v="2"/>
    <s v="Yes"/>
    <n v="91"/>
    <n v="5419"/>
    <s v="IBM Cloud"/>
    <s v="Low"/>
    <x v="3"/>
    <s v="Compliant"/>
    <n v="1"/>
    <s v="Medium"/>
    <s v="IBM Cognos"/>
    <n v="7"/>
    <s v="Yes"/>
  </r>
  <r>
    <x v="10"/>
    <x v="9"/>
    <x v="41"/>
    <d v="2021-12-02T00:00:00"/>
    <n v="78.05"/>
    <n v="6"/>
    <n v="2135.5"/>
    <n v="2235.41"/>
    <n v="1"/>
    <s v="No"/>
    <n v="95"/>
    <n v="4638"/>
    <s v="IBM Cloud"/>
    <s v="High"/>
    <x v="2"/>
    <s v="Compliant"/>
    <n v="5"/>
    <s v="Low"/>
    <s v="IBM Cognos"/>
    <n v="4"/>
    <s v="Yes"/>
  </r>
  <r>
    <x v="16"/>
    <x v="6"/>
    <x v="42"/>
    <d v="2021-12-25T00:00:00"/>
    <n v="100.5"/>
    <n v="15"/>
    <n v="918.6"/>
    <n v="1356.99"/>
    <n v="1"/>
    <s v="No"/>
    <n v="70"/>
    <n v="4038"/>
    <s v="None"/>
    <s v="Medium"/>
    <x v="1"/>
    <s v="Compliant"/>
    <n v="1"/>
    <s v="Medium"/>
    <s v="Power BI"/>
    <n v="2"/>
    <s v="No"/>
  </r>
  <r>
    <x v="5"/>
    <x v="6"/>
    <x v="43"/>
    <d v="2021-12-12T00:00:00"/>
    <n v="96.7"/>
    <n v="7"/>
    <n v="2082.9499999999998"/>
    <n v="3066.91"/>
    <n v="1"/>
    <s v="No"/>
    <n v="93"/>
    <n v="4458"/>
    <s v="Azure"/>
    <s v="Low"/>
    <x v="1"/>
    <s v="Non-Compliant"/>
    <n v="4"/>
    <s v="Low"/>
    <s v="IBM Cognos"/>
    <n v="8"/>
    <s v="Yes"/>
  </r>
  <r>
    <x v="16"/>
    <x v="5"/>
    <x v="44"/>
    <d v="2021-12-05T00:00:00"/>
    <n v="78.95"/>
    <n v="2"/>
    <n v="378.4"/>
    <n v="439.75"/>
    <n v="3"/>
    <s v="No"/>
    <n v="65"/>
    <n v="4054"/>
    <s v="Azure"/>
    <s v="High"/>
    <x v="2"/>
    <s v="Compliant"/>
    <n v="4"/>
    <s v="Medium"/>
    <s v="IBM Cognos"/>
    <n v="5"/>
    <s v="No"/>
  </r>
  <r>
    <x v="16"/>
    <x v="1"/>
    <x v="45"/>
    <d v="2021-12-14T00:00:00"/>
    <n v="76.5"/>
    <n v="5"/>
    <n v="2868.15"/>
    <n v="3102.36"/>
    <n v="2"/>
    <s v="No"/>
    <n v="67"/>
    <n v="2793"/>
    <s v="IBM Cloud"/>
    <s v="Medium"/>
    <x v="1"/>
    <s v="Compliant"/>
    <n v="3"/>
    <s v="Low"/>
    <s v="Power BI"/>
    <n v="3"/>
    <s v="No"/>
  </r>
  <r>
    <x v="16"/>
    <x v="8"/>
    <x v="46"/>
    <d v="2021-12-05T00:00:00"/>
    <n v="108.85"/>
    <n v="9"/>
    <n v="6287.25"/>
    <n v="9151.2900000000009"/>
    <n v="1"/>
    <s v="Yes"/>
    <n v="91"/>
    <n v="4739"/>
    <s v="IBM Cloud"/>
    <s v="Low"/>
    <x v="3"/>
    <s v="Compliant"/>
    <n v="5"/>
    <s v="Low"/>
    <s v="Excel"/>
    <n v="9"/>
    <s v="Yes"/>
  </r>
  <r>
    <x v="17"/>
    <x v="2"/>
    <x v="47"/>
    <d v="2021-12-12T00:00:00"/>
    <n v="45.3"/>
    <n v="9"/>
    <n v="2651.2"/>
    <n v="2610.25"/>
    <n v="1"/>
    <s v="No"/>
    <n v="91"/>
    <n v="5444"/>
    <s v="Azure"/>
    <s v="Medium"/>
    <x v="2"/>
    <s v="Compliant"/>
    <n v="5"/>
    <s v="Medium"/>
    <s v="SQL"/>
    <n v="10"/>
    <s v="Yes"/>
  </r>
  <r>
    <x v="10"/>
    <x v="7"/>
    <x v="48"/>
    <d v="2021-12-23T00:00:00"/>
    <n v="98.55"/>
    <n v="13"/>
    <n v="1842.8"/>
    <n v="2851.6"/>
    <n v="3"/>
    <s v="Yes"/>
    <n v="92"/>
    <n v="5444"/>
    <s v="IBM Cloud"/>
    <s v="Medium"/>
    <x v="0"/>
    <s v="Compliant"/>
    <n v="2"/>
    <s v="Low"/>
    <s v="Excel"/>
    <n v="1"/>
    <s v="No"/>
  </r>
  <r>
    <x v="18"/>
    <x v="9"/>
    <x v="49"/>
    <d v="2021-12-18T00:00:00"/>
    <n v="95.35"/>
    <n v="9"/>
    <n v="898.35"/>
    <n v="1312.05"/>
    <n v="1"/>
    <s v="Yes"/>
    <n v="75"/>
    <n v="5353"/>
    <s v="IBM Cloud"/>
    <s v="Medium"/>
    <x v="3"/>
    <s v="Compliant"/>
    <n v="5"/>
    <s v="Low"/>
    <s v="SQL"/>
    <n v="5"/>
    <s v="No"/>
  </r>
  <r>
    <x v="8"/>
    <x v="0"/>
    <x v="50"/>
    <d v="2021-12-09T00:00:00"/>
    <n v="69.25"/>
    <n v="23"/>
    <n v="69.25"/>
    <n v="98.93"/>
    <n v="2"/>
    <s v="No"/>
    <n v="75"/>
    <n v="4371"/>
    <s v="IBM Cloud"/>
    <s v="High"/>
    <x v="3"/>
    <s v="Compliant"/>
    <n v="5"/>
    <s v="Medium"/>
    <s v="IBM Cognos"/>
    <n v="9"/>
    <s v="No"/>
  </r>
  <r>
    <x v="6"/>
    <x v="8"/>
    <x v="51"/>
    <d v="2021-12-13T00:00:00"/>
    <n v="75.55"/>
    <n v="7"/>
    <n v="349.65"/>
    <n v="561.29999999999995"/>
    <n v="1"/>
    <s v="No"/>
    <n v="90"/>
    <n v="4028"/>
    <s v="Azure"/>
    <s v="High"/>
    <x v="0"/>
    <s v="Compliant"/>
    <n v="2"/>
    <s v="High"/>
    <s v="Power BI"/>
    <n v="8"/>
    <s v="Yes"/>
  </r>
  <r>
    <x v="5"/>
    <x v="6"/>
    <x v="52"/>
    <d v="2021-12-05T00:00:00"/>
    <n v="50.15"/>
    <n v="20"/>
    <n v="50.15"/>
    <n v="89.93"/>
    <n v="2"/>
    <s v="No"/>
    <n v="91"/>
    <n v="3438"/>
    <s v="IBM Cloud"/>
    <s v="Medium"/>
    <x v="2"/>
    <s v="Compliant"/>
    <n v="1"/>
    <s v="Medium"/>
    <s v="Power BI"/>
    <n v="4"/>
    <s v="Yes"/>
  </r>
  <r>
    <x v="6"/>
    <x v="4"/>
    <x v="48"/>
    <d v="2021-12-23T00:00:00"/>
    <n v="75.5"/>
    <n v="13"/>
    <n v="1893.95"/>
    <n v="2180.15"/>
    <n v="1"/>
    <s v="No"/>
    <n v="65"/>
    <n v="2377"/>
    <s v="IBM Cloud"/>
    <s v="Medium"/>
    <x v="2"/>
    <s v="Compliant"/>
    <n v="4"/>
    <s v="Medium"/>
    <s v="Power BI"/>
    <n v="3"/>
    <s v="No"/>
  </r>
  <r>
    <x v="2"/>
    <x v="9"/>
    <x v="53"/>
    <d v="2021-12-17T00:00:00"/>
    <n v="75.3"/>
    <n v="15"/>
    <n v="75.3"/>
    <n v="130.38999999999999"/>
    <n v="2"/>
    <s v="Yes"/>
    <n v="67"/>
    <n v="4902"/>
    <s v="AWS"/>
    <s v="Low"/>
    <x v="4"/>
    <s v="Compliant"/>
    <n v="3"/>
    <s v="Medium"/>
    <s v="Power BI"/>
    <n v="5"/>
    <s v="No"/>
  </r>
  <r>
    <x v="0"/>
    <x v="9"/>
    <x v="37"/>
    <d v="2021-12-02T00:00:00"/>
    <n v="43.3"/>
    <n v="11"/>
    <n v="43.3"/>
    <n v="43.3"/>
    <n v="3"/>
    <s v="Yes"/>
    <n v="91"/>
    <n v="4972"/>
    <s v="Azure"/>
    <s v="High"/>
    <x v="0"/>
    <s v="Compliant"/>
    <n v="1"/>
    <s v="Medium"/>
    <s v="Power BI"/>
    <n v="3"/>
    <s v="No"/>
  </r>
  <r>
    <x v="16"/>
    <x v="5"/>
    <x v="54"/>
    <d v="2021-12-14T00:00:00"/>
    <n v="79.099999999999994"/>
    <n v="3"/>
    <n v="79.099999999999994"/>
    <n v="121.4"/>
    <n v="3"/>
    <s v="No"/>
    <n v="92"/>
    <n v="5001"/>
    <s v="Azure"/>
    <s v="High"/>
    <x v="1"/>
    <s v="Compliant"/>
    <n v="2"/>
    <s v="Medium"/>
    <s v="IBM Cognos"/>
    <n v="3"/>
    <s v="No"/>
  </r>
  <r>
    <x v="18"/>
    <x v="4"/>
    <x v="55"/>
    <d v="2021-12-26T00:00:00"/>
    <n v="95.25"/>
    <n v="8"/>
    <n v="5427.05"/>
    <n v="8259.33"/>
    <n v="2"/>
    <s v="No"/>
    <n v="86"/>
    <n v="6259"/>
    <s v="Azure"/>
    <s v="High"/>
    <x v="1"/>
    <s v="Compliant"/>
    <n v="4"/>
    <s v="Low"/>
    <s v="SQL"/>
    <n v="3"/>
    <s v="Yes"/>
  </r>
  <r>
    <x v="5"/>
    <x v="6"/>
    <x v="56"/>
    <d v="2021-12-08T00:00:00"/>
    <n v="90.45"/>
    <n v="20"/>
    <n v="1266.0999999999999"/>
    <n v="1424.44"/>
    <n v="3"/>
    <s v="No"/>
    <n v="96"/>
    <n v="4777"/>
    <s v="IBM Cloud"/>
    <s v="Medium"/>
    <x v="1"/>
    <s v="Compliant"/>
    <n v="5"/>
    <s v="High"/>
    <s v="SQL"/>
    <n v="2"/>
    <s v="No"/>
  </r>
  <r>
    <x v="15"/>
    <x v="7"/>
    <x v="57"/>
    <d v="2021-12-07T00:00:00"/>
    <n v="83.05"/>
    <n v="22"/>
    <n v="1258.3"/>
    <n v="2030.25"/>
    <n v="3"/>
    <s v="No"/>
    <n v="70"/>
    <n v="2596"/>
    <s v="IBM Cloud"/>
    <s v="Medium"/>
    <x v="1"/>
    <s v="Non-Compliant"/>
    <n v="1"/>
    <s v="Low"/>
    <s v="Power BI"/>
    <n v="7"/>
    <s v="No"/>
  </r>
  <r>
    <x v="12"/>
    <x v="8"/>
    <x v="58"/>
    <d v="2021-12-23T00:00:00"/>
    <n v="76.099999999999994"/>
    <n v="16"/>
    <n v="1712.7"/>
    <n v="2453.58"/>
    <n v="2"/>
    <s v="No"/>
    <n v="91"/>
    <n v="2018"/>
    <s v="AWS"/>
    <s v="Medium"/>
    <x v="1"/>
    <s v="Compliant"/>
    <n v="5"/>
    <s v="Low"/>
    <s v="IBM Cognos"/>
    <n v="9"/>
    <s v="Yes"/>
  </r>
  <r>
    <x v="13"/>
    <x v="5"/>
    <x v="59"/>
    <d v="2021-12-21T00:00:00"/>
    <n v="91.3"/>
    <n v="7"/>
    <n v="91.3"/>
    <n v="134.91"/>
    <n v="3"/>
    <s v="Yes"/>
    <n v="71"/>
    <n v="2371"/>
    <s v="IBM Cloud"/>
    <s v="High"/>
    <x v="3"/>
    <s v="Compliant"/>
    <n v="1"/>
    <s v="High"/>
    <s v="Power BI"/>
    <n v="1"/>
    <s v="No"/>
  </r>
  <r>
    <x v="15"/>
    <x v="1"/>
    <x v="60"/>
    <d v="2021-12-17T00:00:00"/>
    <n v="84.4"/>
    <n v="14"/>
    <n v="732.5"/>
    <n v="1009.7"/>
    <n v="2"/>
    <s v="No"/>
    <n v="83"/>
    <n v="5745"/>
    <s v="IBM Cloud"/>
    <s v="High"/>
    <x v="3"/>
    <s v="Non-Compliant"/>
    <n v="5"/>
    <s v="Medium"/>
    <s v="Excel"/>
    <n v="3"/>
    <s v="Yes"/>
  </r>
  <r>
    <x v="10"/>
    <x v="7"/>
    <x v="61"/>
    <d v="2021-12-21T00:00:00"/>
    <n v="95.6"/>
    <n v="9"/>
    <n v="644.35"/>
    <n v="797.72"/>
    <n v="3"/>
    <s v="No"/>
    <n v="83"/>
    <n v="3265"/>
    <s v="AWS"/>
    <s v="Low"/>
    <x v="0"/>
    <s v="Compliant"/>
    <n v="3"/>
    <s v="Medium"/>
    <s v="Power BI"/>
    <n v="3"/>
    <s v="No"/>
  </r>
  <r>
    <x v="3"/>
    <x v="2"/>
    <x v="62"/>
    <d v="2021-12-16T00:00:00"/>
    <n v="91.7"/>
    <n v="22"/>
    <n v="2758.15"/>
    <n v="4134.55"/>
    <n v="1"/>
    <s v="No"/>
    <n v="90"/>
    <n v="2482"/>
    <s v="AWS"/>
    <s v="Medium"/>
    <x v="3"/>
    <s v="Compliant"/>
    <n v="2"/>
    <s v="Medium"/>
    <s v="Power BI"/>
    <n v="3"/>
    <s v="Yes"/>
  </r>
  <r>
    <x v="17"/>
    <x v="8"/>
    <x v="63"/>
    <d v="2021-12-27T00:00:00"/>
    <n v="45.1"/>
    <n v="8"/>
    <n v="45.1"/>
    <n v="60.34"/>
    <n v="1"/>
    <s v="No"/>
    <n v="70"/>
    <n v="2740"/>
    <s v="AWS"/>
    <s v="High"/>
    <x v="4"/>
    <s v="Non-Compliant"/>
    <n v="4"/>
    <s v="High"/>
    <s v="Power BI"/>
    <n v="4"/>
    <s v="No"/>
  </r>
  <r>
    <x v="2"/>
    <x v="6"/>
    <x v="64"/>
    <d v="2021-12-04T00:00:00"/>
    <n v="89.5"/>
    <n v="1"/>
    <n v="161.5"/>
    <n v="256.44"/>
    <n v="2"/>
    <s v="Yes"/>
    <n v="80"/>
    <n v="2065"/>
    <s v="IBM Cloud"/>
    <s v="High"/>
    <x v="2"/>
    <s v="Compliant"/>
    <n v="3"/>
    <s v="Low"/>
    <s v="Excel"/>
    <n v="7"/>
    <s v="Yes"/>
  </r>
  <r>
    <x v="10"/>
    <x v="9"/>
    <x v="65"/>
    <d v="2021-12-12T00:00:00"/>
    <n v="113.2"/>
    <n v="6"/>
    <n v="4689.5"/>
    <n v="5835.45"/>
    <n v="1"/>
    <s v="Yes"/>
    <n v="89"/>
    <n v="3380"/>
    <s v="IBM Cloud"/>
    <s v="Low"/>
    <x v="3"/>
    <s v="Compliant"/>
    <n v="3"/>
    <s v="Low"/>
    <s v="SQL"/>
    <n v="2"/>
    <s v="Yes"/>
  </r>
  <r>
    <x v="3"/>
    <x v="2"/>
    <x v="66"/>
    <d v="2021-12-27T00:00:00"/>
    <n v="94.25"/>
    <n v="20"/>
    <n v="1973.75"/>
    <n v="2417.9"/>
    <n v="2"/>
    <s v="Yes"/>
    <n v="73"/>
    <n v="4819"/>
    <s v="IBM Cloud"/>
    <s v="Low"/>
    <x v="1"/>
    <s v="Compliant"/>
    <n v="5"/>
    <s v="Low"/>
    <s v="Power BI"/>
    <n v="6"/>
    <s v="No"/>
  </r>
  <r>
    <x v="9"/>
    <x v="3"/>
    <x v="67"/>
    <d v="2021-12-22T00:00:00"/>
    <n v="99.8"/>
    <n v="7"/>
    <n v="442.85"/>
    <n v="493.57000000000011"/>
    <n v="1"/>
    <s v="No"/>
    <n v="89"/>
    <n v="2268"/>
    <s v="Azure"/>
    <s v="Low"/>
    <x v="2"/>
    <s v="Compliant"/>
    <n v="3"/>
    <s v="Medium"/>
    <s v="SQL"/>
    <n v="8"/>
    <s v="Yes"/>
  </r>
  <r>
    <x v="19"/>
    <x v="9"/>
    <x v="68"/>
    <d v="2021-12-25T00:00:00"/>
    <n v="75.2"/>
    <n v="13"/>
    <n v="1929.35"/>
    <n v="2118.89"/>
    <n v="1"/>
    <s v="Yes"/>
    <n v="91"/>
    <n v="4517"/>
    <s v="IBM Cloud"/>
    <s v="Low"/>
    <x v="1"/>
    <s v="Non-Compliant"/>
    <n v="4"/>
    <s v="Medium"/>
    <s v="Power BI"/>
    <n v="4"/>
    <s v="Yes"/>
  </r>
  <r>
    <x v="0"/>
    <x v="3"/>
    <x v="69"/>
    <d v="2021-12-20T00:00:00"/>
    <n v="104.75"/>
    <n v="20"/>
    <n v="5510.65"/>
    <n v="7447.1299999999992"/>
    <n v="3"/>
    <s v="Yes"/>
    <n v="93"/>
    <n v="5605"/>
    <s v="IBM Cloud"/>
    <s v="Medium"/>
    <x v="3"/>
    <s v="Compliant"/>
    <n v="1"/>
    <s v="Low"/>
    <s v="SQL"/>
    <n v="9"/>
    <s v="No"/>
  </r>
  <r>
    <x v="0"/>
    <x v="9"/>
    <x v="70"/>
    <d v="2021-12-11T00:00:00"/>
    <n v="57.15"/>
    <n v="5"/>
    <n v="2250.65"/>
    <n v="3242.45"/>
    <n v="1"/>
    <s v="No"/>
    <n v="75"/>
    <n v="3110"/>
    <s v="IBM Cloud"/>
    <s v="High"/>
    <x v="0"/>
    <s v="Compliant"/>
    <n v="3"/>
    <s v="High"/>
    <s v="Excel"/>
    <n v="7"/>
    <s v="No"/>
  </r>
  <r>
    <x v="15"/>
    <x v="3"/>
    <x v="58"/>
    <d v="2021-12-23T00:00:00"/>
    <n v="45"/>
    <n v="16"/>
    <n v="127.1"/>
    <n v="227.52"/>
    <n v="3"/>
    <s v="Yes"/>
    <n v="77"/>
    <n v="4145"/>
    <s v="IBM Cloud"/>
    <s v="Medium"/>
    <x v="1"/>
    <s v="Compliant"/>
    <n v="1"/>
    <s v="Low"/>
    <s v="IBM Cognos"/>
    <n v="7"/>
    <s v="No"/>
  </r>
  <r>
    <x v="10"/>
    <x v="4"/>
    <x v="71"/>
    <d v="2021-12-18T00:00:00"/>
    <n v="96.15"/>
    <n v="19"/>
    <n v="1529.2"/>
    <n v="2149.1999999999998"/>
    <n v="2"/>
    <s v="No"/>
    <n v="96"/>
    <n v="5913"/>
    <s v="IBM Cloud"/>
    <s v="Medium"/>
    <x v="3"/>
    <s v="Compliant"/>
    <n v="4"/>
    <s v="Low"/>
    <s v="SQL"/>
    <n v="7"/>
    <s v="Yes"/>
  </r>
  <r>
    <x v="5"/>
    <x v="5"/>
    <x v="72"/>
    <d v="2021-12-08T00:00:00"/>
    <n v="80.599999999999994"/>
    <n v="3"/>
    <n v="2656.5"/>
    <n v="3751.77"/>
    <n v="2"/>
    <s v="No"/>
    <n v="72"/>
    <n v="3601"/>
    <s v="Azure"/>
    <s v="Low"/>
    <x v="1"/>
    <s v="Non-Compliant"/>
    <n v="2"/>
    <s v="High"/>
    <s v="IBM Cognos"/>
    <n v="7"/>
    <s v="No"/>
  </r>
  <r>
    <x v="19"/>
    <x v="5"/>
    <x v="73"/>
    <d v="2021-12-11T00:00:00"/>
    <n v="95"/>
    <n v="19"/>
    <n v="1120.3"/>
    <n v="1367.79"/>
    <n v="1"/>
    <s v="No"/>
    <n v="85"/>
    <n v="5980"/>
    <s v="IBM Cloud"/>
    <s v="Low"/>
    <x v="1"/>
    <s v="Compliant"/>
    <n v="2"/>
    <s v="Low"/>
    <s v="Excel"/>
    <n v="7"/>
    <s v="Yes"/>
  </r>
  <r>
    <x v="20"/>
    <x v="7"/>
    <x v="74"/>
    <d v="2021-12-16T00:00:00"/>
    <n v="70.45"/>
    <n v="0"/>
    <n v="70.45"/>
    <n v="85.73"/>
    <n v="2"/>
    <s v="No"/>
    <n v="76"/>
    <n v="3964"/>
    <s v="IBM Cloud"/>
    <s v="Medium"/>
    <x v="2"/>
    <s v="Compliant"/>
    <n v="5"/>
    <s v="Medium"/>
    <s v="IBM Cognos"/>
    <n v="9"/>
    <s v="No"/>
  </r>
  <r>
    <x v="18"/>
    <x v="2"/>
    <x v="74"/>
    <d v="2021-12-16T00:00:00"/>
    <n v="78.849999999999994"/>
    <n v="0"/>
    <n v="292.8"/>
    <n v="440.52"/>
    <n v="3"/>
    <s v="No"/>
    <n v="72"/>
    <n v="5301"/>
    <s v="IBM Cloud"/>
    <s v="Medium"/>
    <x v="4"/>
    <s v="Compliant"/>
    <n v="2"/>
    <s v="Medium"/>
    <s v="SQL"/>
    <n v="2"/>
    <s v="No"/>
  </r>
  <r>
    <x v="13"/>
    <x v="8"/>
    <x v="75"/>
    <d v="2021-12-26T00:00:00"/>
    <n v="72.849999999999994"/>
    <n v="9"/>
    <n v="688.65"/>
    <n v="773.25"/>
    <n v="1"/>
    <s v="No"/>
    <n v="91"/>
    <n v="3189"/>
    <s v="Azure"/>
    <s v="High"/>
    <x v="0"/>
    <s v="Compliant"/>
    <n v="4"/>
    <s v="Low"/>
    <s v="IBM Cognos"/>
    <n v="2"/>
    <s v="Yes"/>
  </r>
  <r>
    <x v="13"/>
    <x v="9"/>
    <x v="76"/>
    <d v="2022-01-01T00:00:00"/>
    <n v="94.55"/>
    <n v="22"/>
    <n v="3640.45"/>
    <n v="5620.45"/>
    <n v="1"/>
    <s v="No"/>
    <n v="95"/>
    <n v="5676"/>
    <s v="IBM Cloud"/>
    <s v="Low"/>
    <x v="1"/>
    <s v="Compliant"/>
    <n v="4"/>
    <s v="High"/>
    <s v="Excel"/>
    <n v="10"/>
    <s v="Yes"/>
  </r>
  <r>
    <x v="3"/>
    <x v="6"/>
    <x v="77"/>
    <d v="2021-12-15T00:00:00"/>
    <n v="86.6"/>
    <n v="10"/>
    <n v="1281"/>
    <n v="1587.88"/>
    <n v="3"/>
    <s v="No"/>
    <n v="81"/>
    <n v="2508"/>
    <s v="IBM Cloud"/>
    <s v="High"/>
    <x v="4"/>
    <s v="Compliant"/>
    <n v="3"/>
    <s v="Medium"/>
    <s v="Excel"/>
    <n v="6"/>
    <s v="No"/>
  </r>
  <r>
    <x v="8"/>
    <x v="7"/>
    <x v="78"/>
    <d v="2021-12-16T00:00:00"/>
    <n v="93.85"/>
    <n v="9"/>
    <n v="170.85"/>
    <n v="209.39"/>
    <n v="3"/>
    <s v="No"/>
    <n v="72"/>
    <n v="4193"/>
    <s v="IBM Cloud"/>
    <s v="Low"/>
    <x v="0"/>
    <s v="Compliant"/>
    <n v="5"/>
    <s v="High"/>
    <s v="IBM Cognos"/>
    <n v="2"/>
    <s v="No"/>
  </r>
  <r>
    <x v="19"/>
    <x v="5"/>
    <x v="79"/>
    <d v="2021-12-15T00:00:00"/>
    <n v="93.55"/>
    <n v="13"/>
    <n v="93.55"/>
    <n v="123.72"/>
    <n v="1"/>
    <s v="No"/>
    <n v="81"/>
    <n v="5536"/>
    <s v="IBM Cloud"/>
    <s v="Medium"/>
    <x v="2"/>
    <s v="Compliant"/>
    <n v="2"/>
    <s v="Medium"/>
    <s v="Power BI"/>
    <n v="6"/>
    <s v="Yes"/>
  </r>
  <r>
    <x v="8"/>
    <x v="1"/>
    <x v="80"/>
    <d v="2022-01-01T00:00:00"/>
    <n v="88.2"/>
    <n v="16"/>
    <n v="1775.8"/>
    <n v="2535.23"/>
    <n v="1"/>
    <s v="No"/>
    <n v="69"/>
    <n v="5683"/>
    <s v="AWS"/>
    <s v="Low"/>
    <x v="1"/>
    <s v="Compliant"/>
    <n v="2"/>
    <s v="High"/>
    <s v="Excel"/>
    <n v="4"/>
    <s v="No"/>
  </r>
  <r>
    <x v="18"/>
    <x v="2"/>
    <x v="81"/>
    <d v="2021-12-02T00:00:00"/>
    <n v="74.5"/>
    <n v="21"/>
    <n v="606.54999999999995"/>
    <n v="620.79"/>
    <n v="2"/>
    <s v="No"/>
    <n v="80"/>
    <n v="4345"/>
    <s v="IBM Cloud"/>
    <s v="Medium"/>
    <x v="0"/>
    <s v="Non-Compliant"/>
    <n v="3"/>
    <s v="Medium"/>
    <s v="Excel"/>
    <n v="8"/>
    <s v="Yes"/>
  </r>
  <r>
    <x v="11"/>
    <x v="8"/>
    <x v="82"/>
    <d v="2021-12-10T00:00:00"/>
    <n v="73.650000000000006"/>
    <n v="12"/>
    <n v="1463.5"/>
    <n v="1570.9"/>
    <n v="1"/>
    <s v="No"/>
    <n v="95"/>
    <n v="5849"/>
    <s v="Azure"/>
    <s v="High"/>
    <x v="3"/>
    <s v="Compliant"/>
    <n v="1"/>
    <s v="Medium"/>
    <s v="IBM Cognos"/>
    <n v="3"/>
    <s v="Yes"/>
  </r>
  <r>
    <x v="17"/>
    <x v="7"/>
    <x v="83"/>
    <d v="2021-12-23T00:00:00"/>
    <n v="41.15"/>
    <n v="3"/>
    <n v="132.19999999999999"/>
    <n v="132.19999999999999"/>
    <n v="2"/>
    <s v="Yes"/>
    <n v="96"/>
    <n v="2314"/>
    <s v="IBM Cloud"/>
    <s v="Low"/>
    <x v="1"/>
    <s v="Compliant"/>
    <n v="5"/>
    <s v="High"/>
    <s v="SQL"/>
    <n v="1"/>
    <s v="Yes"/>
  </r>
  <r>
    <x v="10"/>
    <x v="2"/>
    <x v="84"/>
    <d v="2021-12-19T00:00:00"/>
    <n v="96.8"/>
    <n v="1"/>
    <n v="2030.3"/>
    <n v="2907.77"/>
    <n v="1"/>
    <s v="No"/>
    <n v="87"/>
    <n v="4317"/>
    <s v="Azure"/>
    <s v="High"/>
    <x v="0"/>
    <s v="Non-Compliant"/>
    <n v="3"/>
    <s v="Low"/>
    <s v="Excel"/>
    <n v="4"/>
    <s v="Yes"/>
  </r>
  <r>
    <x v="5"/>
    <x v="4"/>
    <x v="85"/>
    <d v="2021-12-11T00:00:00"/>
    <n v="30.75"/>
    <n v="3"/>
    <n v="805.1"/>
    <n v="945.1"/>
    <n v="1"/>
    <s v="Yes"/>
    <n v="91"/>
    <n v="2927"/>
    <s v="IBM Cloud"/>
    <s v="Medium"/>
    <x v="4"/>
    <s v="Compliant"/>
    <n v="2"/>
    <s v="High"/>
    <s v="Excel"/>
    <n v="1"/>
    <s v="Yes"/>
  </r>
  <r>
    <x v="19"/>
    <x v="1"/>
    <x v="12"/>
    <d v="2021-12-15T00:00:00"/>
    <n v="89.2"/>
    <n v="17"/>
    <n v="346.2"/>
    <n v="539.6"/>
    <n v="1"/>
    <s v="Yes"/>
    <n v="74"/>
    <n v="5808"/>
    <s v="None"/>
    <s v="Low"/>
    <x v="1"/>
    <s v="Non-Compliant"/>
    <n v="5"/>
    <s v="Medium"/>
    <s v="Power BI"/>
    <n v="9"/>
    <s v="No"/>
  </r>
  <r>
    <x v="10"/>
    <x v="0"/>
    <x v="86"/>
    <d v="2021-12-24T00:00:00"/>
    <n v="39.65"/>
    <n v="18"/>
    <n v="39.65"/>
    <n v="59.65"/>
    <n v="3"/>
    <s v="No"/>
    <n v="91"/>
    <n v="5433"/>
    <s v="IBM Cloud"/>
    <s v="High"/>
    <x v="1"/>
    <s v="Compliant"/>
    <n v="4"/>
    <s v="Low"/>
    <s v="SQL"/>
    <n v="9"/>
    <s v="No"/>
  </r>
  <r>
    <x v="1"/>
    <x v="7"/>
    <x v="87"/>
    <d v="2021-12-19T00:00:00"/>
    <n v="45.1"/>
    <n v="16"/>
    <n v="45.1"/>
    <n v="60.38"/>
    <n v="2"/>
    <s v="Yes"/>
    <n v="79"/>
    <n v="4499"/>
    <s v="Azure"/>
    <s v="Low"/>
    <x v="4"/>
    <s v="Compliant"/>
    <n v="1"/>
    <s v="High"/>
    <s v="Excel"/>
    <n v="2"/>
    <s v="No"/>
  </r>
  <r>
    <x v="6"/>
    <x v="9"/>
    <x v="88"/>
    <d v="2021-12-27T00:00:00"/>
    <n v="80.45"/>
    <n v="2"/>
    <n v="950.2"/>
    <n v="1033.8399999999999"/>
    <n v="2"/>
    <s v="No"/>
    <n v="69"/>
    <n v="5374"/>
    <s v="IBM Cloud"/>
    <s v="Medium"/>
    <x v="1"/>
    <s v="Non-Compliant"/>
    <n v="4"/>
    <s v="Medium"/>
    <s v="IBM Cognos"/>
    <n v="2"/>
    <s v="No"/>
  </r>
  <r>
    <x v="18"/>
    <x v="0"/>
    <x v="89"/>
    <d v="2021-12-25T00:00:00"/>
    <n v="95.45"/>
    <n v="19"/>
    <n v="396.1"/>
    <n v="522.54"/>
    <n v="3"/>
    <s v="No"/>
    <n v="85"/>
    <n v="3677"/>
    <s v="IBM Cloud"/>
    <s v="Medium"/>
    <x v="2"/>
    <s v="Compliant"/>
    <n v="5"/>
    <s v="Low"/>
    <s v="IBM Cognos"/>
    <n v="7"/>
    <s v="No"/>
  </r>
  <r>
    <x v="1"/>
    <x v="2"/>
    <x v="90"/>
    <d v="2021-12-02T00:00:00"/>
    <n v="90.5"/>
    <n v="2"/>
    <n v="1201.1500000000001"/>
    <n v="1650.74"/>
    <n v="1"/>
    <s v="Yes"/>
    <n v="76"/>
    <n v="5394"/>
    <s v="IBM Cloud"/>
    <s v="High"/>
    <x v="0"/>
    <s v="Compliant"/>
    <n v="5"/>
    <s v="High"/>
    <s v="Excel"/>
    <n v="1"/>
    <s v="No"/>
  </r>
  <r>
    <x v="6"/>
    <x v="3"/>
    <x v="91"/>
    <d v="2021-12-19T00:00:00"/>
    <n v="89.6"/>
    <n v="7"/>
    <n v="6127.6"/>
    <n v="7768.44"/>
    <n v="1"/>
    <s v="Yes"/>
    <n v="69"/>
    <n v="5651"/>
    <s v="IBM Cloud"/>
    <s v="Medium"/>
    <x v="4"/>
    <s v="Compliant"/>
    <n v="1"/>
    <s v="Low"/>
    <s v="Excel"/>
    <n v="8"/>
    <s v="No"/>
  </r>
  <r>
    <x v="6"/>
    <x v="7"/>
    <x v="92"/>
    <d v="2021-12-19T00:00:00"/>
    <n v="100.3"/>
    <n v="11"/>
    <n v="832.35"/>
    <n v="924.91"/>
    <n v="1"/>
    <s v="No"/>
    <n v="74"/>
    <n v="5084"/>
    <s v="IBM Cloud"/>
    <s v="High"/>
    <x v="1"/>
    <s v="Compliant"/>
    <n v="4"/>
    <s v="Medium"/>
    <s v="Power BI"/>
    <n v="4"/>
    <s v="No"/>
  </r>
  <r>
    <x v="20"/>
    <x v="7"/>
    <x v="93"/>
    <d v="2022-01-01T00:00:00"/>
    <n v="85.3"/>
    <n v="3"/>
    <n v="2661.1"/>
    <n v="4248.3"/>
    <n v="1"/>
    <s v="Yes"/>
    <n v="75"/>
    <n v="2712"/>
    <s v="Azure"/>
    <s v="High"/>
    <x v="2"/>
    <s v="Compliant"/>
    <n v="2"/>
    <s v="Low"/>
    <s v="IBM Cognos"/>
    <n v="4"/>
    <s v="No"/>
  </r>
  <r>
    <x v="14"/>
    <x v="5"/>
    <x v="34"/>
    <d v="2021-12-21T00:00:00"/>
    <n v="95.25"/>
    <n v="14"/>
    <n v="4424.2"/>
    <n v="4706.18"/>
    <n v="2"/>
    <s v="No"/>
    <n v="90"/>
    <n v="3180"/>
    <s v="IBM Cloud"/>
    <s v="Medium"/>
    <x v="3"/>
    <s v="Compliant"/>
    <n v="4"/>
    <s v="High"/>
    <s v="Excel"/>
    <n v="3"/>
    <s v="Yes"/>
  </r>
  <r>
    <x v="4"/>
    <x v="6"/>
    <x v="94"/>
    <d v="2021-12-12T00:00:00"/>
    <n v="95.25"/>
    <n v="17"/>
    <n v="1233.6500000000001"/>
    <n v="1597.66"/>
    <n v="1"/>
    <s v="Yes"/>
    <n v="90"/>
    <n v="2982"/>
    <s v="IBM Cloud"/>
    <s v="High"/>
    <x v="4"/>
    <s v="Compliant"/>
    <n v="2"/>
    <s v="High"/>
    <s v="IBM Cognos"/>
    <n v="10"/>
    <s v="Yes"/>
  </r>
  <r>
    <x v="0"/>
    <x v="2"/>
    <x v="95"/>
    <d v="2021-12-10T00:00:00"/>
    <n v="104.05"/>
    <n v="22"/>
    <n v="1133.6500000000001"/>
    <n v="1323.4"/>
    <n v="3"/>
    <s v="Yes"/>
    <n v="82"/>
    <n v="4553"/>
    <s v="Azure"/>
    <s v="High"/>
    <x v="3"/>
    <s v="Non-Compliant"/>
    <n v="3"/>
    <s v="High"/>
    <s v="SQL"/>
    <n v="8"/>
    <s v="No"/>
  </r>
  <r>
    <x v="6"/>
    <x v="5"/>
    <x v="11"/>
    <d v="2021-12-08T00:00:00"/>
    <n v="28.45"/>
    <n v="1"/>
    <n v="131.05000000000001"/>
    <n v="131.05000000000001"/>
    <n v="2"/>
    <s v="No"/>
    <n v="89"/>
    <n v="4099"/>
    <s v="IBM Cloud"/>
    <s v="Medium"/>
    <x v="2"/>
    <s v="Non-Compliant"/>
    <n v="2"/>
    <s v="Low"/>
    <s v="Excel"/>
    <n v="1"/>
    <s v="Yes"/>
  </r>
  <r>
    <x v="4"/>
    <x v="7"/>
    <x v="96"/>
    <d v="2021-12-07T00:00:00"/>
    <n v="93.2"/>
    <n v="15"/>
    <n v="2931"/>
    <n v="3992.8"/>
    <n v="3"/>
    <s v="No"/>
    <n v="90"/>
    <n v="5247"/>
    <s v="AWS"/>
    <s v="High"/>
    <x v="2"/>
    <s v="Non-Compliant"/>
    <n v="4"/>
    <s v="Medium"/>
    <s v="Power BI"/>
    <n v="6"/>
    <s v="No"/>
  </r>
  <r>
    <x v="20"/>
    <x v="2"/>
    <x v="97"/>
    <d v="2021-12-27T00:00:00"/>
    <n v="82.45"/>
    <n v="4"/>
    <n v="4350.1000000000004"/>
    <n v="5002.42"/>
    <n v="1"/>
    <s v="No"/>
    <n v="83"/>
    <n v="4149"/>
    <s v="IBM Cloud"/>
    <s v="High"/>
    <x v="0"/>
    <s v="Compliant"/>
    <n v="1"/>
    <s v="High"/>
    <s v="Power BI"/>
    <n v="5"/>
    <s v="Yes"/>
  </r>
  <r>
    <x v="4"/>
    <x v="3"/>
    <x v="98"/>
    <d v="2021-12-12T00:00:00"/>
    <n v="95.45"/>
    <n v="20"/>
    <n v="1752.55"/>
    <n v="1910.88"/>
    <n v="2"/>
    <s v="No"/>
    <n v="81"/>
    <n v="3179"/>
    <s v="Azure"/>
    <s v="Low"/>
    <x v="1"/>
    <s v="Compliant"/>
    <n v="5"/>
    <s v="High"/>
    <s v="Excel"/>
    <n v="10"/>
    <s v="Yes"/>
  </r>
  <r>
    <x v="14"/>
    <x v="8"/>
    <x v="0"/>
    <d v="2021-12-11T00:00:00"/>
    <n v="84.65"/>
    <n v="10"/>
    <n v="3541.35"/>
    <n v="3941.61"/>
    <n v="2"/>
    <s v="No"/>
    <n v="90"/>
    <n v="4871"/>
    <s v="IBM Cloud"/>
    <s v="Medium"/>
    <x v="4"/>
    <s v="Non-Compliant"/>
    <n v="1"/>
    <s v="Medium"/>
    <s v="Power BI"/>
    <n v="3"/>
    <s v="Yes"/>
  </r>
  <r>
    <x v="15"/>
    <x v="5"/>
    <x v="99"/>
    <d v="2021-12-28T00:00:00"/>
    <n v="70.349999999999994"/>
    <n v="2"/>
    <n v="139.05000000000001"/>
    <n v="165.39"/>
    <n v="3"/>
    <s v="No"/>
    <n v="73"/>
    <n v="2671"/>
    <s v="IBM Cloud"/>
    <s v="High"/>
    <x v="2"/>
    <s v="Non-Compliant"/>
    <n v="2"/>
    <s v="High"/>
    <s v="Power BI"/>
    <n v="8"/>
    <s v="No"/>
  </r>
  <r>
    <x v="12"/>
    <x v="4"/>
    <x v="100"/>
    <d v="2021-12-13T00:00:00"/>
    <n v="85"/>
    <n v="14"/>
    <n v="2642.05"/>
    <n v="2784.16"/>
    <n v="1"/>
    <s v="No"/>
    <n v="94"/>
    <n v="4584"/>
    <s v="None"/>
    <s v="High"/>
    <x v="1"/>
    <s v="Compliant"/>
    <n v="1"/>
    <s v="Medium"/>
    <s v="Power BI"/>
    <n v="5"/>
    <s v="Yes"/>
  </r>
  <r>
    <x v="4"/>
    <x v="1"/>
    <x v="101"/>
    <d v="2021-12-05T00:00:00"/>
    <n v="94.45"/>
    <n v="7"/>
    <n v="1511.2"/>
    <n v="1662.08"/>
    <n v="1"/>
    <s v="No"/>
    <n v="81"/>
    <n v="3810"/>
    <s v="IBM Cloud"/>
    <s v="High"/>
    <x v="3"/>
    <s v="Compliant"/>
    <n v="1"/>
    <s v="Medium"/>
    <s v="IBM Cognos"/>
    <n v="6"/>
    <s v="Yes"/>
  </r>
  <r>
    <x v="3"/>
    <x v="0"/>
    <x v="102"/>
    <d v="2021-12-25T00:00:00"/>
    <n v="80.650000000000006"/>
    <n v="6"/>
    <n v="633.29999999999995"/>
    <n v="1024.0999999999999"/>
    <n v="3"/>
    <s v="No"/>
    <n v="69"/>
    <n v="5302"/>
    <s v="None"/>
    <s v="High"/>
    <x v="4"/>
    <s v="Compliant"/>
    <n v="1"/>
    <s v="High"/>
    <s v="SQL"/>
    <n v="5"/>
    <s v="No"/>
  </r>
  <r>
    <x v="12"/>
    <x v="1"/>
    <x v="103"/>
    <d v="2021-12-13T00:00:00"/>
    <n v="80.400000000000006"/>
    <n v="15"/>
    <n v="224.05"/>
    <n v="233.92"/>
    <n v="2"/>
    <s v="Yes"/>
    <n v="89"/>
    <n v="3834"/>
    <s v="Azure"/>
    <s v="High"/>
    <x v="2"/>
    <s v="Compliant"/>
    <n v="1"/>
    <s v="Medium"/>
    <s v="Power BI"/>
    <n v="1"/>
    <s v="Yes"/>
  </r>
  <r>
    <x v="4"/>
    <x v="7"/>
    <x v="104"/>
    <d v="2021-12-14T00:00:00"/>
    <n v="104.55"/>
    <n v="0"/>
    <n v="5794.65"/>
    <n v="8527.4499999999989"/>
    <n v="1"/>
    <s v="No"/>
    <n v="91"/>
    <n v="6268"/>
    <s v="AWS"/>
    <s v="High"/>
    <x v="0"/>
    <s v="Compliant"/>
    <n v="5"/>
    <s v="Low"/>
    <s v="IBM Cognos"/>
    <n v="8"/>
    <s v="Yes"/>
  </r>
  <r>
    <x v="2"/>
    <x v="0"/>
    <x v="95"/>
    <d v="2021-12-10T00:00:00"/>
    <n v="40.200000000000003"/>
    <n v="22"/>
    <n v="40.200000000000003"/>
    <n v="40.200000000000003"/>
    <n v="2"/>
    <s v="No"/>
    <n v="65"/>
    <n v="5828"/>
    <s v="Azure"/>
    <s v="High"/>
    <x v="4"/>
    <s v="Compliant"/>
    <n v="1"/>
    <s v="High"/>
    <s v="SQL"/>
    <n v="2"/>
    <s v="No"/>
  </r>
  <r>
    <x v="4"/>
    <x v="8"/>
    <x v="72"/>
    <d v="2021-12-08T00:00:00"/>
    <n v="100.45"/>
    <n v="3"/>
    <n v="1622.45"/>
    <n v="2101.5100000000002"/>
    <n v="3"/>
    <s v="Yes"/>
    <n v="87"/>
    <n v="5508"/>
    <s v="IBM Cloud"/>
    <s v="High"/>
    <x v="2"/>
    <s v="Compliant"/>
    <n v="3"/>
    <s v="Medium"/>
    <s v="Excel"/>
    <n v="2"/>
    <s v="No"/>
  </r>
  <r>
    <x v="1"/>
    <x v="6"/>
    <x v="105"/>
    <d v="2021-12-09T00:00:00"/>
    <n v="79.2"/>
    <n v="14"/>
    <n v="79.2"/>
    <n v="99.26"/>
    <n v="3"/>
    <s v="No"/>
    <n v="76"/>
    <n v="4363"/>
    <s v="Azure"/>
    <s v="Medium"/>
    <x v="0"/>
    <s v="Compliant"/>
    <n v="2"/>
    <s v="Low"/>
    <s v="Excel"/>
    <n v="3"/>
    <s v="No"/>
  </r>
  <r>
    <x v="16"/>
    <x v="7"/>
    <x v="106"/>
    <d v="2021-12-08T00:00:00"/>
    <n v="105.25"/>
    <n v="7"/>
    <n v="6786.4"/>
    <n v="7981.75"/>
    <n v="1"/>
    <s v="No"/>
    <n v="91"/>
    <n v="4196"/>
    <s v="Azure"/>
    <s v="High"/>
    <x v="0"/>
    <s v="Compliant"/>
    <n v="1"/>
    <s v="Low"/>
    <s v="SQL"/>
    <n v="4"/>
    <s v="Yes"/>
  </r>
  <r>
    <x v="13"/>
    <x v="1"/>
    <x v="107"/>
    <d v="2022-01-01T00:00:00"/>
    <n v="69.599999999999994"/>
    <n v="1"/>
    <n v="69.599999999999994"/>
    <n v="104.11"/>
    <n v="1"/>
    <s v="No"/>
    <n v="96"/>
    <n v="3438"/>
    <s v="IBM Cloud"/>
    <s v="High"/>
    <x v="3"/>
    <s v="Non-Compliant"/>
    <n v="1"/>
    <s v="High"/>
    <s v="IBM Cognos"/>
    <n v="2"/>
    <s v="Yes"/>
  </r>
  <r>
    <x v="19"/>
    <x v="9"/>
    <x v="61"/>
    <d v="2021-12-21T00:00:00"/>
    <n v="60.05"/>
    <n v="9"/>
    <n v="1236.1500000000001"/>
    <n v="1963.17"/>
    <n v="1"/>
    <s v="No"/>
    <n v="70"/>
    <n v="4716"/>
    <s v="Azure"/>
    <s v="Medium"/>
    <x v="3"/>
    <s v="Compliant"/>
    <n v="3"/>
    <s v="Low"/>
    <s v="IBM Cognos"/>
    <n v="9"/>
    <s v="No"/>
  </r>
  <r>
    <x v="15"/>
    <x v="3"/>
    <x v="108"/>
    <d v="2021-12-05T00:00:00"/>
    <n v="94.75"/>
    <n v="18"/>
    <n v="2293.6"/>
    <n v="3010.51"/>
    <n v="2"/>
    <s v="No"/>
    <n v="95"/>
    <n v="2740"/>
    <s v="AWS"/>
    <s v="Medium"/>
    <x v="0"/>
    <s v="Compliant"/>
    <n v="2"/>
    <s v="Low"/>
    <s v="IBM Cognos"/>
    <n v="1"/>
    <s v="Yes"/>
  </r>
  <r>
    <x v="17"/>
    <x v="3"/>
    <x v="109"/>
    <d v="2021-12-23T00:00:00"/>
    <n v="98.5"/>
    <n v="14"/>
    <n v="3004.15"/>
    <n v="3754.22"/>
    <n v="3"/>
    <s v="No"/>
    <n v="72"/>
    <n v="5137"/>
    <s v="IBM Cloud"/>
    <s v="Low"/>
    <x v="1"/>
    <s v="Compliant"/>
    <n v="2"/>
    <s v="Medium"/>
    <s v="Excel"/>
    <n v="1"/>
    <s v="No"/>
  </r>
  <r>
    <x v="16"/>
    <x v="8"/>
    <x v="110"/>
    <d v="2021-12-16T00:00:00"/>
    <n v="76.45"/>
    <n v="6"/>
    <n v="503.6"/>
    <n v="681.2"/>
    <n v="2"/>
    <s v="No"/>
    <n v="81"/>
    <n v="4419"/>
    <s v="Azure"/>
    <s v="Low"/>
    <x v="3"/>
    <s v="Compliant"/>
    <n v="2"/>
    <s v="High"/>
    <s v="SQL"/>
    <n v="2"/>
    <s v="Yes"/>
  </r>
  <r>
    <x v="3"/>
    <x v="1"/>
    <x v="111"/>
    <d v="2021-12-27T00:00:00"/>
    <n v="74.7"/>
    <n v="13"/>
    <n v="165.4"/>
    <n v="178.42"/>
    <n v="2"/>
    <s v="Yes"/>
    <n v="81"/>
    <n v="2803"/>
    <s v="IBM Cloud"/>
    <s v="Medium"/>
    <x v="3"/>
    <s v="Compliant"/>
    <n v="2"/>
    <s v="Low"/>
    <s v="SQL"/>
    <n v="7"/>
    <s v="Yes"/>
  </r>
  <r>
    <x v="0"/>
    <x v="9"/>
    <x v="112"/>
    <d v="2021-12-22T00:00:00"/>
    <n v="99.5"/>
    <n v="11"/>
    <n v="6822.15"/>
    <n v="8726.91"/>
    <n v="1"/>
    <s v="Yes"/>
    <n v="96"/>
    <n v="4479"/>
    <s v="IBM Cloud"/>
    <s v="Medium"/>
    <x v="4"/>
    <s v="Compliant"/>
    <n v="2"/>
    <s v="Medium"/>
    <s v="IBM Cognos"/>
    <n v="2"/>
    <s v="Yes"/>
  </r>
  <r>
    <x v="13"/>
    <x v="9"/>
    <x v="113"/>
    <d v="2021-12-03T00:00:00"/>
    <n v="105.65"/>
    <n v="4"/>
    <n v="4284.8"/>
    <n v="5581.55"/>
    <n v="3"/>
    <s v="No"/>
    <n v="96"/>
    <n v="4687"/>
    <s v="Azure"/>
    <s v="Low"/>
    <x v="3"/>
    <s v="Compliant"/>
    <n v="3"/>
    <s v="Medium"/>
    <s v="SQL"/>
    <n v="7"/>
    <s v="No"/>
  </r>
  <r>
    <x v="2"/>
    <x v="6"/>
    <x v="114"/>
    <d v="2021-12-28T00:00:00"/>
    <n v="85.7"/>
    <n v="18"/>
    <n v="85.7"/>
    <n v="131.51"/>
    <n v="1"/>
    <s v="Yes"/>
    <n v="66"/>
    <n v="4880"/>
    <s v="None"/>
    <s v="High"/>
    <x v="2"/>
    <s v="Compliant"/>
    <n v="3"/>
    <s v="Medium"/>
    <s v="SQL"/>
    <n v="1"/>
    <s v="No"/>
  </r>
  <r>
    <x v="18"/>
    <x v="5"/>
    <x v="115"/>
    <d v="2021-12-12T00:00:00"/>
    <n v="45.05"/>
    <n v="11"/>
    <n v="770.6"/>
    <n v="1466.41"/>
    <n v="1"/>
    <s v="Yes"/>
    <n v="93"/>
    <n v="3797"/>
    <s v="IBM Cloud"/>
    <s v="Low"/>
    <x v="1"/>
    <s v="Compliant"/>
    <n v="3"/>
    <s v="High"/>
    <s v="IBM Cognos"/>
    <n v="5"/>
    <s v="Yes"/>
  </r>
  <r>
    <x v="14"/>
    <x v="1"/>
    <x v="116"/>
    <d v="2021-12-17T00:00:00"/>
    <n v="93.15"/>
    <n v="8"/>
    <n v="2231.0500000000002"/>
    <n v="2617.4499999999998"/>
    <n v="2"/>
    <s v="No"/>
    <n v="73"/>
    <n v="2212"/>
    <s v="AWS"/>
    <s v="Low"/>
    <x v="3"/>
    <s v="Compliant"/>
    <n v="1"/>
    <s v="Medium"/>
    <s v="SQL"/>
    <n v="6"/>
    <s v="No"/>
  </r>
  <r>
    <x v="3"/>
    <x v="2"/>
    <x v="117"/>
    <d v="2021-12-03T00:00:00"/>
    <n v="89.5"/>
    <n v="1"/>
    <n v="676.7"/>
    <n v="772.11"/>
    <n v="2"/>
    <s v="No"/>
    <n v="89"/>
    <n v="3077"/>
    <s v="Azure"/>
    <s v="Medium"/>
    <x v="0"/>
    <s v="Compliant"/>
    <n v="3"/>
    <s v="Low"/>
    <s v="IBM Cognos"/>
    <n v="7"/>
    <s v="Yes"/>
  </r>
  <r>
    <x v="15"/>
    <x v="2"/>
    <x v="118"/>
    <d v="2021-12-02T00:00:00"/>
    <n v="74.900000000000006"/>
    <n v="14"/>
    <n v="2303.35"/>
    <n v="3818.23"/>
    <n v="2"/>
    <s v="No"/>
    <n v="69"/>
    <n v="4105"/>
    <s v="IBM Cloud"/>
    <s v="Low"/>
    <x v="0"/>
    <s v="Compliant"/>
    <n v="4"/>
    <s v="High"/>
    <s v="SQL"/>
    <n v="4"/>
    <s v="No"/>
  </r>
  <r>
    <x v="3"/>
    <x v="3"/>
    <x v="119"/>
    <d v="2021-12-20T00:00:00"/>
    <n v="100"/>
    <n v="21"/>
    <n v="5509.3"/>
    <n v="7665.2000000000007"/>
    <n v="3"/>
    <s v="No"/>
    <n v="83"/>
    <n v="5679"/>
    <s v="None"/>
    <s v="High"/>
    <x v="0"/>
    <s v="Compliant"/>
    <n v="4"/>
    <s v="High"/>
    <s v="SQL"/>
    <n v="1"/>
    <s v="No"/>
  </r>
  <r>
    <x v="5"/>
    <x v="7"/>
    <x v="120"/>
    <d v="2021-12-23T00:00:00"/>
    <n v="103.75"/>
    <n v="1"/>
    <n v="6383.35"/>
    <n v="6824.17"/>
    <n v="1"/>
    <s v="Yes"/>
    <n v="91"/>
    <n v="5052"/>
    <s v="IBM Cloud"/>
    <s v="Low"/>
    <x v="3"/>
    <s v="Compliant"/>
    <n v="1"/>
    <s v="High"/>
    <s v="SQL"/>
    <n v="8"/>
    <s v="Yes"/>
  </r>
  <r>
    <x v="18"/>
    <x v="7"/>
    <x v="121"/>
    <d v="2021-12-11T00:00:00"/>
    <n v="50.4"/>
    <n v="18"/>
    <n v="1527.5"/>
    <n v="1667"/>
    <n v="3"/>
    <s v="No"/>
    <n v="83"/>
    <n v="4795"/>
    <s v="Azure"/>
    <s v="Medium"/>
    <x v="0"/>
    <s v="Non-Compliant"/>
    <n v="2"/>
    <s v="High"/>
    <s v="Excel"/>
    <n v="5"/>
    <s v="No"/>
  </r>
  <r>
    <x v="2"/>
    <x v="6"/>
    <x v="93"/>
    <d v="2022-01-01T00:00:00"/>
    <n v="100.6"/>
    <n v="3"/>
    <n v="819.4"/>
    <n v="1143"/>
    <n v="1"/>
    <s v="Yes"/>
    <n v="90"/>
    <n v="5906"/>
    <s v="AWS"/>
    <s v="High"/>
    <x v="0"/>
    <s v="Compliant"/>
    <n v="4"/>
    <s v="Medium"/>
    <s v="Excel"/>
    <n v="10"/>
    <s v="Yes"/>
  </r>
  <r>
    <x v="18"/>
    <x v="5"/>
    <x v="122"/>
    <d v="2021-12-21T00:00:00"/>
    <n v="74.7"/>
    <n v="13"/>
    <n v="74.7"/>
    <n v="86.04"/>
    <n v="1"/>
    <s v="No"/>
    <n v="88"/>
    <n v="3348"/>
    <s v="IBM Cloud"/>
    <s v="Low"/>
    <x v="0"/>
    <s v="Compliant"/>
    <n v="5"/>
    <s v="High"/>
    <s v="Power BI"/>
    <n v="5"/>
    <s v="Yes"/>
  </r>
  <r>
    <x v="11"/>
    <x v="3"/>
    <x v="123"/>
    <d v="2021-12-18T00:00:00"/>
    <n v="74.3"/>
    <n v="20"/>
    <n v="940.35"/>
    <n v="1465.16"/>
    <n v="1"/>
    <s v="No"/>
    <n v="90"/>
    <n v="2995"/>
    <s v="Azure"/>
    <s v="Low"/>
    <x v="2"/>
    <s v="Compliant"/>
    <n v="5"/>
    <s v="High"/>
    <s v="IBM Cognos"/>
    <n v="7"/>
    <s v="Yes"/>
  </r>
  <r>
    <x v="5"/>
    <x v="5"/>
    <x v="124"/>
    <d v="2021-12-22T00:00:00"/>
    <n v="94.25"/>
    <n v="2"/>
    <n v="3217.55"/>
    <n v="3315.47"/>
    <n v="1"/>
    <s v="Yes"/>
    <n v="88"/>
    <n v="3369"/>
    <s v="AWS"/>
    <s v="High"/>
    <x v="3"/>
    <s v="Compliant"/>
    <n v="3"/>
    <s v="Medium"/>
    <s v="Excel"/>
    <n v="1"/>
    <s v="Yes"/>
  </r>
  <r>
    <x v="4"/>
    <x v="1"/>
    <x v="125"/>
    <d v="2021-12-02T00:00:00"/>
    <n v="73.55"/>
    <n v="7"/>
    <n v="73.55"/>
    <n v="110.47"/>
    <n v="2"/>
    <s v="Yes"/>
    <n v="94"/>
    <n v="4369"/>
    <s v="AWS"/>
    <s v="Medium"/>
    <x v="1"/>
    <s v="Compliant"/>
    <n v="2"/>
    <s v="Medium"/>
    <s v="IBM Cognos"/>
    <n v="6"/>
    <s v="Yes"/>
  </r>
  <r>
    <x v="16"/>
    <x v="8"/>
    <x v="126"/>
    <d v="2021-12-15T00:00:00"/>
    <n v="19.95"/>
    <n v="4"/>
    <n v="214.75"/>
    <n v="539.69000000000005"/>
    <n v="1"/>
    <s v="No"/>
    <n v="80"/>
    <n v="5888"/>
    <s v="Azure"/>
    <s v="High"/>
    <x v="0"/>
    <s v="Compliant"/>
    <n v="2"/>
    <s v="Medium"/>
    <s v="SQL"/>
    <n v="6"/>
    <s v="Yes"/>
  </r>
  <r>
    <x v="9"/>
    <x v="8"/>
    <x v="127"/>
    <d v="2021-12-03T00:00:00"/>
    <n v="70.150000000000006"/>
    <n v="17"/>
    <n v="70.150000000000006"/>
    <n v="118.12"/>
    <n v="2"/>
    <s v="No"/>
    <n v="71"/>
    <n v="2825"/>
    <s v="AWS"/>
    <s v="Medium"/>
    <x v="1"/>
    <s v="Compliant"/>
    <n v="4"/>
    <s v="High"/>
    <s v="Power BI"/>
    <n v="6"/>
    <s v="No"/>
  </r>
  <r>
    <x v="6"/>
    <x v="0"/>
    <x v="128"/>
    <d v="2021-12-23T00:00:00"/>
    <n v="100.8"/>
    <n v="21"/>
    <n v="100.8"/>
    <n v="118.15"/>
    <n v="1"/>
    <s v="No"/>
    <n v="65"/>
    <n v="3128"/>
    <s v="IBM Cloud"/>
    <s v="Low"/>
    <x v="3"/>
    <s v="Compliant"/>
    <n v="2"/>
    <s v="Medium"/>
    <s v="Excel"/>
    <n v="1"/>
    <s v="No"/>
  </r>
  <r>
    <x v="13"/>
    <x v="7"/>
    <x v="94"/>
    <d v="2021-12-12T00:00:00"/>
    <n v="89.7"/>
    <n v="17"/>
    <n v="1047.7"/>
    <n v="1091.26"/>
    <n v="2"/>
    <s v="No"/>
    <n v="89"/>
    <n v="2202"/>
    <s v="IBM Cloud"/>
    <s v="Medium"/>
    <x v="1"/>
    <s v="Compliant"/>
    <n v="3"/>
    <s v="Medium"/>
    <s v="IBM Cognos"/>
    <n v="7"/>
    <s v="Yes"/>
  </r>
  <r>
    <x v="6"/>
    <x v="3"/>
    <x v="129"/>
    <d v="2021-12-27T00:00:00"/>
    <n v="44.95"/>
    <n v="19"/>
    <n v="85.15"/>
    <n v="138.38999999999999"/>
    <n v="2"/>
    <s v="Yes"/>
    <n v="84"/>
    <n v="5900"/>
    <s v="IBM Cloud"/>
    <s v="Low"/>
    <x v="0"/>
    <s v="Compliant"/>
    <n v="5"/>
    <s v="Low"/>
    <s v="IBM Cognos"/>
    <n v="3"/>
    <s v="Yes"/>
  </r>
  <r>
    <x v="1"/>
    <x v="3"/>
    <x v="130"/>
    <d v="2021-12-28T00:00:00"/>
    <n v="88.55"/>
    <n v="4"/>
    <n v="179.25"/>
    <n v="222.39"/>
    <n v="1"/>
    <s v="No"/>
    <n v="80"/>
    <n v="3685"/>
    <s v="None"/>
    <s v="High"/>
    <x v="3"/>
    <s v="Compliant"/>
    <n v="3"/>
    <s v="Medium"/>
    <s v="SQL"/>
    <n v="7"/>
    <s v="Yes"/>
  </r>
  <r>
    <x v="17"/>
    <x v="5"/>
    <x v="126"/>
    <d v="2021-12-15T00:00:00"/>
    <n v="100.5"/>
    <n v="4"/>
    <n v="3653.35"/>
    <n v="4212.6499999999996"/>
    <n v="1"/>
    <s v="No"/>
    <n v="81"/>
    <n v="4745"/>
    <s v="Azure"/>
    <s v="Medium"/>
    <x v="1"/>
    <s v="Compliant"/>
    <n v="5"/>
    <s v="Low"/>
    <s v="SQL"/>
    <n v="7"/>
    <s v="Yes"/>
  </r>
  <r>
    <x v="5"/>
    <x v="7"/>
    <x v="131"/>
    <d v="2021-12-02T00:00:00"/>
    <n v="90.05"/>
    <n v="9"/>
    <n v="4547.25"/>
    <n v="5670.33"/>
    <n v="2"/>
    <s v="No"/>
    <n v="96"/>
    <n v="5059"/>
    <s v="IBM Cloud"/>
    <s v="Low"/>
    <x v="1"/>
    <s v="Compliant"/>
    <n v="1"/>
    <s v="Low"/>
    <s v="Power BI"/>
    <n v="6"/>
    <s v="Yes"/>
  </r>
  <r>
    <x v="16"/>
    <x v="9"/>
    <x v="132"/>
    <d v="2022-01-01T00:00:00"/>
    <n v="70.099999999999994"/>
    <n v="14"/>
    <n v="467.55"/>
    <n v="559.66999999999996"/>
    <n v="2"/>
    <s v="No"/>
    <n v="83"/>
    <n v="3669"/>
    <s v="AWS"/>
    <s v="Low"/>
    <x v="0"/>
    <s v="Compliant"/>
    <n v="5"/>
    <s v="Medium"/>
    <s v="Power BI"/>
    <n v="2"/>
    <s v="Yes"/>
  </r>
  <r>
    <x v="2"/>
    <x v="2"/>
    <x v="133"/>
    <d v="2021-12-06T00:00:00"/>
    <n v="70.55"/>
    <n v="17"/>
    <n v="70.55"/>
    <n v="88.75"/>
    <n v="3"/>
    <s v="No"/>
    <n v="82"/>
    <n v="2146"/>
    <s v="IBM Cloud"/>
    <s v="Low"/>
    <x v="2"/>
    <s v="Compliant"/>
    <n v="5"/>
    <s v="Medium"/>
    <s v="Excel"/>
    <n v="8"/>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2011C0-E377-45B2-88AF-77BF2B0779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Region">
  <location ref="A19:D31" firstHeaderRow="1" firstDataRow="2" firstDataCol="1"/>
  <pivotFields count="20">
    <pivotField showAll="0"/>
    <pivotField axis="axisRow" showAll="0">
      <items count="11">
        <item x="7"/>
        <item x="6"/>
        <item x="0"/>
        <item x="4"/>
        <item x="3"/>
        <item x="2"/>
        <item x="1"/>
        <item x="9"/>
        <item x="5"/>
        <item x="8"/>
        <item t="default"/>
      </items>
    </pivotField>
    <pivotField showAll="0"/>
    <pivotField showAll="0"/>
    <pivotField showAll="0"/>
    <pivotField dataField="1" showAll="0"/>
    <pivotField showAll="0"/>
    <pivotField axis="axisCol" showAll="0">
      <items count="3">
        <item n="Churned-No" x="0"/>
        <item n="Churned-Ye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Fields count="1">
    <field x="7"/>
  </colFields>
  <colItems count="3">
    <i>
      <x/>
    </i>
    <i>
      <x v="1"/>
    </i>
    <i t="grand">
      <x/>
    </i>
  </colItems>
  <dataFields count="1">
    <dataField name="Sum of Total IBM Revenue Contribution ($)" fld="5" baseField="0" baseItem="0"/>
  </dataFields>
  <chartFormats count="21">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7" format="0" series="1">
      <pivotArea type="data" outline="0" fieldPosition="0">
        <references count="2">
          <reference field="4294967294" count="1" selected="0">
            <x v="0"/>
          </reference>
          <reference field="7" count="1" selected="0">
            <x v="0"/>
          </reference>
        </references>
      </pivotArea>
    </chartFormat>
    <chartFormat chart="7" format="1" series="1">
      <pivotArea type="data" outline="0" fieldPosition="0">
        <references count="2">
          <reference field="4294967294" count="1" selected="0">
            <x v="0"/>
          </reference>
          <reference field="7" count="1" selected="0">
            <x v="1"/>
          </reference>
        </references>
      </pivotArea>
    </chartFormat>
    <chartFormat chart="9" format="0" series="1">
      <pivotArea type="data" outline="0" fieldPosition="0">
        <references count="2">
          <reference field="4294967294" count="1" selected="0">
            <x v="0"/>
          </reference>
          <reference field="7" count="1" selected="0">
            <x v="0"/>
          </reference>
        </references>
      </pivotArea>
    </chartFormat>
    <chartFormat chart="9" format="1" series="1">
      <pivotArea type="data" outline="0" fieldPosition="0">
        <references count="2">
          <reference field="4294967294" count="1" selected="0">
            <x v="0"/>
          </reference>
          <reference field="7" count="1" selected="0">
            <x v="1"/>
          </reference>
        </references>
      </pivotArea>
    </chartFormat>
    <chartFormat chart="9"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 chart="7" format="4">
      <pivotArea type="data" outline="0" fieldPosition="0">
        <references count="2">
          <reference field="4294967294" count="1" selected="0">
            <x v="0"/>
          </reference>
          <reference field="1" count="1" selected="0">
            <x v="1"/>
          </reference>
        </references>
      </pivotArea>
    </chartFormat>
    <chartFormat chart="7" format="5">
      <pivotArea type="data" outline="0" fieldPosition="0">
        <references count="2">
          <reference field="4294967294" count="1" selected="0">
            <x v="0"/>
          </reference>
          <reference field="1" count="1" selected="0">
            <x v="2"/>
          </reference>
        </references>
      </pivotArea>
    </chartFormat>
    <chartFormat chart="7" format="6">
      <pivotArea type="data" outline="0" fieldPosition="0">
        <references count="2">
          <reference field="4294967294" count="1" selected="0">
            <x v="0"/>
          </reference>
          <reference field="1" count="1" selected="0">
            <x v="3"/>
          </reference>
        </references>
      </pivotArea>
    </chartFormat>
    <chartFormat chart="7" format="7">
      <pivotArea type="data" outline="0" fieldPosition="0">
        <references count="2">
          <reference field="4294967294" count="1" selected="0">
            <x v="0"/>
          </reference>
          <reference field="1" count="1" selected="0">
            <x v="4"/>
          </reference>
        </references>
      </pivotArea>
    </chartFormat>
    <chartFormat chart="7" format="8">
      <pivotArea type="data" outline="0" fieldPosition="0">
        <references count="2">
          <reference field="4294967294" count="1" selected="0">
            <x v="0"/>
          </reference>
          <reference field="1" count="1" selected="0">
            <x v="5"/>
          </reference>
        </references>
      </pivotArea>
    </chartFormat>
    <chartFormat chart="7" format="9">
      <pivotArea type="data" outline="0" fieldPosition="0">
        <references count="2">
          <reference field="4294967294" count="1" selected="0">
            <x v="0"/>
          </reference>
          <reference field="1" count="1" selected="0">
            <x v="6"/>
          </reference>
        </references>
      </pivotArea>
    </chartFormat>
    <chartFormat chart="7" format="10">
      <pivotArea type="data" outline="0" fieldPosition="0">
        <references count="2">
          <reference field="4294967294" count="1" selected="0">
            <x v="0"/>
          </reference>
          <reference field="1" count="1" selected="0">
            <x v="7"/>
          </reference>
        </references>
      </pivotArea>
    </chartFormat>
    <chartFormat chart="7" format="11">
      <pivotArea type="data" outline="0" fieldPosition="0">
        <references count="2">
          <reference field="4294967294" count="1" selected="0">
            <x v="0"/>
          </reference>
          <reference field="1" count="1" selected="0">
            <x v="8"/>
          </reference>
        </references>
      </pivotArea>
    </chartFormat>
    <chartFormat chart="7" format="12">
      <pivotArea type="data" outline="0" fieldPosition="0">
        <references count="2">
          <reference field="4294967294" count="1" selected="0">
            <x v="0"/>
          </reference>
          <reference field="1" count="1" selected="0">
            <x v="9"/>
          </reference>
        </references>
      </pivotArea>
    </chartFormat>
    <chartFormat chart="22" format="0" series="1">
      <pivotArea type="data" outline="0" fieldPosition="0">
        <references count="2">
          <reference field="4294967294" count="1" selected="0">
            <x v="0"/>
          </reference>
          <reference field="7" count="1" selected="0">
            <x v="0"/>
          </reference>
        </references>
      </pivotArea>
    </chartFormat>
    <chartFormat chart="22"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535D32-649C-4A4E-9884-D1F002C105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Industry Sector">
  <location ref="J34:K40" firstHeaderRow="1" firstDataRow="1" firstDataCol="1"/>
  <pivotFields count="20">
    <pivotField showAll="0">
      <items count="17">
        <item x="9"/>
        <item x="6"/>
        <item x="10"/>
        <item x="11"/>
        <item x="12"/>
        <item x="7"/>
        <item x="2"/>
        <item x="4"/>
        <item x="15"/>
        <item x="1"/>
        <item x="14"/>
        <item x="5"/>
        <item x="8"/>
        <item x="0"/>
        <item x="13"/>
        <item x="3"/>
        <item t="default"/>
      </items>
    </pivotField>
    <pivotField showAll="0">
      <items count="11">
        <item x="7"/>
        <item x="6"/>
        <item x="0"/>
        <item x="4"/>
        <item x="3"/>
        <item x="2"/>
        <item x="1"/>
        <item x="9"/>
        <item x="5"/>
        <item x="8"/>
        <item t="default"/>
      </items>
    </pivotField>
    <pivotField showAll="0"/>
    <pivotField showAll="0"/>
    <pivotField showAll="0"/>
    <pivotField showAll="0"/>
    <pivotField dataField="1" showAll="0">
      <items count="4">
        <item x="2"/>
        <item x="1"/>
        <item x="0"/>
        <item t="default"/>
      </items>
    </pivotField>
    <pivotField showAll="0">
      <items count="3">
        <item x="0"/>
        <item h="1" x="1"/>
        <item t="default"/>
      </items>
    </pivotField>
    <pivotField showAll="0"/>
    <pivotField showAll="0"/>
    <pivotField showAll="0"/>
    <pivotField showAll="0"/>
    <pivotField axis="axisRow" showAll="0">
      <items count="6">
        <item x="2"/>
        <item x="3"/>
        <item x="0"/>
        <item x="1"/>
        <item x="4"/>
        <item t="default"/>
      </items>
    </pivotField>
    <pivotField showAll="0"/>
    <pivotField showAll="0"/>
    <pivotField showAll="0"/>
    <pivotField showAll="0"/>
    <pivotField showAll="0"/>
    <pivotField showAll="0"/>
    <pivotField showAll="0"/>
  </pivotFields>
  <rowFields count="1">
    <field x="12"/>
  </rowFields>
  <rowItems count="6">
    <i>
      <x/>
    </i>
    <i>
      <x v="1"/>
    </i>
    <i>
      <x v="2"/>
    </i>
    <i>
      <x v="3"/>
    </i>
    <i>
      <x v="4"/>
    </i>
    <i t="grand">
      <x/>
    </i>
  </rowItems>
  <colItems count="1">
    <i/>
  </colItems>
  <dataFields count="1">
    <dataField name="Average of Client Satisfaction Score" fld="6" subtotal="average" baseField="0" baseItem="0"/>
  </dataFields>
  <chartFormats count="2">
    <chartFormat chart="22"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A1E4A0-3150-4AA5-8B0E-A885148BA7D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Industry Sector">
  <location ref="J41:K47" firstHeaderRow="1" firstDataRow="1" firstDataCol="1"/>
  <pivotFields count="20">
    <pivotField showAll="0"/>
    <pivotField showAll="0"/>
    <pivotField showAll="0"/>
    <pivotField showAll="0"/>
    <pivotField showAll="0"/>
    <pivotField dataField="1" showAll="0"/>
    <pivotField showAll="0"/>
    <pivotField showAll="0"/>
    <pivotField showAll="0"/>
    <pivotField showAll="0"/>
    <pivotField showAll="0"/>
    <pivotField showAll="0">
      <items count="4">
        <item x="0"/>
        <item x="1"/>
        <item x="2"/>
        <item t="default"/>
      </items>
    </pivotField>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2"/>
  </rowFields>
  <rowItems count="6">
    <i>
      <x v="2"/>
    </i>
    <i>
      <x v="1"/>
    </i>
    <i>
      <x v="4"/>
    </i>
    <i>
      <x v="3"/>
    </i>
    <i>
      <x/>
    </i>
    <i t="grand">
      <x/>
    </i>
  </rowItems>
  <colItems count="1">
    <i/>
  </colItems>
  <dataFields count="1">
    <dataField name="Sum of Total IBM Revenue Contribution ($)" fld="5" baseField="0" baseItem="0"/>
  </dataFields>
  <conditionalFormats count="1">
    <conditionalFormat priority="1">
      <pivotAreas count="1">
        <pivotArea type="data" collapsedLevelsAreSubtotals="1" fieldPosition="0">
          <references count="2">
            <reference field="4294967294" count="1" selected="0">
              <x v="0"/>
            </reference>
            <reference field="12" count="5">
              <x v="0"/>
              <x v="1"/>
              <x v="2"/>
              <x v="3"/>
              <x v="4"/>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BD0FF-5CFD-41EC-A1C0-01C635F7808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tart Month">
  <location ref="N19:O32" firstHeaderRow="1" firstDataRow="1" firstDataCol="1"/>
  <pivotFields count="24">
    <pivotField dataField="1" showAll="0">
      <items count="22">
        <item x="17"/>
        <item x="12"/>
        <item x="19"/>
        <item x="16"/>
        <item x="11"/>
        <item x="8"/>
        <item x="7"/>
        <item x="18"/>
        <item x="2"/>
        <item x="1"/>
        <item x="4"/>
        <item x="13"/>
        <item x="9"/>
        <item x="5"/>
        <item x="20"/>
        <item x="6"/>
        <item x="10"/>
        <item x="3"/>
        <item x="0"/>
        <item x="14"/>
        <item x="15"/>
        <item t="default"/>
      </items>
    </pivotField>
    <pivotField showAll="0"/>
    <pivotField numFmtId="14" showAll="0">
      <items count="135">
        <item h="1" x="50"/>
        <item h="1" x="28"/>
        <item x="57"/>
        <item h="1" x="95"/>
        <item h="1" x="62"/>
        <item h="1" x="6"/>
        <item h="1" x="76"/>
        <item h="1" x="81"/>
        <item h="1" x="24"/>
        <item h="1" x="119"/>
        <item h="1" x="128"/>
        <item h="1" x="52"/>
        <item h="1" x="56"/>
        <item h="1" x="98"/>
        <item h="1" x="123"/>
        <item h="1" x="69"/>
        <item h="1" x="66"/>
        <item h="1" x="27"/>
        <item h="1" x="73"/>
        <item h="1" x="30"/>
        <item h="1" x="71"/>
        <item h="1" x="89"/>
        <item h="1" x="129"/>
        <item h="1" x="108"/>
        <item h="1" x="26"/>
        <item h="1" x="121"/>
        <item h="1" x="8"/>
        <item h="1" x="86"/>
        <item h="1" x="114"/>
        <item h="1" x="127"/>
        <item h="1" x="133"/>
        <item h="1" x="94"/>
        <item h="1" x="12"/>
        <item h="1" x="87"/>
        <item h="1" x="58"/>
        <item h="1" x="80"/>
        <item h="1" x="96"/>
        <item h="1" x="14"/>
        <item h="1" x="103"/>
        <item h="1" x="19"/>
        <item h="1" x="53"/>
        <item h="1" x="42"/>
        <item h="1" x="118"/>
        <item h="1" x="2"/>
        <item h="1" x="105"/>
        <item h="1" x="100"/>
        <item h="1" x="60"/>
        <item h="1" x="18"/>
        <item h="1" x="34"/>
        <item h="1" x="20"/>
        <item h="1" x="109"/>
        <item h="1" x="132"/>
        <item h="1" x="13"/>
        <item h="1" x="1"/>
        <item h="1" x="79"/>
        <item h="1" x="122"/>
        <item h="1" x="48"/>
        <item h="1" x="68"/>
        <item h="1" x="111"/>
        <item h="1" x="35"/>
        <item h="1" x="82"/>
        <item h="1" x="22"/>
        <item h="1" x="29"/>
        <item h="1" x="37"/>
        <item h="1" x="40"/>
        <item h="1" x="115"/>
        <item h="1" x="92"/>
        <item h="1" x="112"/>
        <item h="1" x="5"/>
        <item h="1" x="0"/>
        <item h="1" x="33"/>
        <item h="1" x="77"/>
        <item h="1" x="9"/>
        <item h="1" x="131"/>
        <item h="1" x="46"/>
        <item h="1" x="10"/>
        <item h="1" x="23"/>
        <item h="1" x="47"/>
        <item h="1" x="15"/>
        <item h="1" x="78"/>
        <item h="1" x="49"/>
        <item h="1" x="61"/>
        <item h="1" x="75"/>
        <item h="1" x="39"/>
        <item h="1" x="116"/>
        <item h="1" x="55"/>
        <item h="1" x="63"/>
        <item h="1" x="125"/>
        <item h="1" x="101"/>
        <item h="1" x="106"/>
        <item h="1" x="43"/>
        <item h="1" x="51"/>
        <item h="1" x="32"/>
        <item h="1" x="91"/>
        <item h="1" x="59"/>
        <item h="1" x="67"/>
        <item h="1" x="41"/>
        <item h="1" x="65"/>
        <item h="1" x="110"/>
        <item h="1" x="102"/>
        <item h="1" x="3"/>
        <item h="1" x="36"/>
        <item h="1" x="70"/>
        <item h="1" x="45"/>
        <item h="1" x="113"/>
        <item h="1" x="126"/>
        <item h="1" x="7"/>
        <item h="1" x="17"/>
        <item h="1" x="97"/>
        <item h="1" x="130"/>
        <item h="1" x="72"/>
        <item h="1" x="21"/>
        <item h="1" x="85"/>
        <item h="1" x="54"/>
        <item h="1" x="83"/>
        <item h="1" x="93"/>
        <item h="1" x="90"/>
        <item h="1" x="44"/>
        <item h="1" x="124"/>
        <item h="1" x="25"/>
        <item h="1" x="88"/>
        <item h="1" x="99"/>
        <item h="1" x="38"/>
        <item h="1" x="117"/>
        <item h="1" x="64"/>
        <item h="1" x="16"/>
        <item h="1" x="11"/>
        <item h="1" x="31"/>
        <item h="1" x="84"/>
        <item h="1" x="120"/>
        <item h="1" x="107"/>
        <item h="1" x="104"/>
        <item h="1" x="74"/>
        <item h="1" x="4"/>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Count of Customers" fld="0" subtotal="count" baseField="0" baseItem="0"/>
  </dataFields>
  <chartFormats count="28">
    <chartFormat chart="0" format="0" series="1">
      <pivotArea type="data" outline="0" fieldPosition="0">
        <references count="1">
          <reference field="4294967294" count="1" selected="0">
            <x v="0"/>
          </reference>
        </references>
      </pivotArea>
    </chartFormat>
    <chartFormat chart="36" format="23" series="1">
      <pivotArea type="data" outline="0" fieldPosition="0">
        <references count="1">
          <reference field="4294967294" count="1" selected="0">
            <x v="0"/>
          </reference>
        </references>
      </pivotArea>
    </chartFormat>
    <chartFormat chart="36" format="24">
      <pivotArea type="data" outline="0" fieldPosition="0">
        <references count="2">
          <reference field="4294967294" count="1" selected="0">
            <x v="0"/>
          </reference>
          <reference field="21" count="1" selected="0">
            <x v="1"/>
          </reference>
        </references>
      </pivotArea>
    </chartFormat>
    <chartFormat chart="36" format="25">
      <pivotArea type="data" outline="0" fieldPosition="0">
        <references count="2">
          <reference field="4294967294" count="1" selected="0">
            <x v="0"/>
          </reference>
          <reference field="21" count="1" selected="0">
            <x v="2"/>
          </reference>
        </references>
      </pivotArea>
    </chartFormat>
    <chartFormat chart="36" format="26">
      <pivotArea type="data" outline="0" fieldPosition="0">
        <references count="2">
          <reference field="4294967294" count="1" selected="0">
            <x v="0"/>
          </reference>
          <reference field="21" count="1" selected="0">
            <x v="3"/>
          </reference>
        </references>
      </pivotArea>
    </chartFormat>
    <chartFormat chart="36" format="27">
      <pivotArea type="data" outline="0" fieldPosition="0">
        <references count="2">
          <reference field="4294967294" count="1" selected="0">
            <x v="0"/>
          </reference>
          <reference field="21" count="1" selected="0">
            <x v="4"/>
          </reference>
        </references>
      </pivotArea>
    </chartFormat>
    <chartFormat chart="36" format="28">
      <pivotArea type="data" outline="0" fieldPosition="0">
        <references count="2">
          <reference field="4294967294" count="1" selected="0">
            <x v="0"/>
          </reference>
          <reference field="21" count="1" selected="0">
            <x v="5"/>
          </reference>
        </references>
      </pivotArea>
    </chartFormat>
    <chartFormat chart="36" format="29">
      <pivotArea type="data" outline="0" fieldPosition="0">
        <references count="2">
          <reference field="4294967294" count="1" selected="0">
            <x v="0"/>
          </reference>
          <reference field="21" count="1" selected="0">
            <x v="6"/>
          </reference>
        </references>
      </pivotArea>
    </chartFormat>
    <chartFormat chart="36" format="30">
      <pivotArea type="data" outline="0" fieldPosition="0">
        <references count="2">
          <reference field="4294967294" count="1" selected="0">
            <x v="0"/>
          </reference>
          <reference field="21" count="1" selected="0">
            <x v="7"/>
          </reference>
        </references>
      </pivotArea>
    </chartFormat>
    <chartFormat chart="36" format="31">
      <pivotArea type="data" outline="0" fieldPosition="0">
        <references count="2">
          <reference field="4294967294" count="1" selected="0">
            <x v="0"/>
          </reference>
          <reference field="21" count="1" selected="0">
            <x v="8"/>
          </reference>
        </references>
      </pivotArea>
    </chartFormat>
    <chartFormat chart="36" format="32">
      <pivotArea type="data" outline="0" fieldPosition="0">
        <references count="2">
          <reference field="4294967294" count="1" selected="0">
            <x v="0"/>
          </reference>
          <reference field="21" count="1" selected="0">
            <x v="9"/>
          </reference>
        </references>
      </pivotArea>
    </chartFormat>
    <chartFormat chart="36" format="33">
      <pivotArea type="data" outline="0" fieldPosition="0">
        <references count="2">
          <reference field="4294967294" count="1" selected="0">
            <x v="0"/>
          </reference>
          <reference field="21" count="1" selected="0">
            <x v="10"/>
          </reference>
        </references>
      </pivotArea>
    </chartFormat>
    <chartFormat chart="36" format="34">
      <pivotArea type="data" outline="0" fieldPosition="0">
        <references count="2">
          <reference field="4294967294" count="1" selected="0">
            <x v="0"/>
          </reference>
          <reference field="21" count="1" selected="0">
            <x v="11"/>
          </reference>
        </references>
      </pivotArea>
    </chartFormat>
    <chartFormat chart="36" format="35">
      <pivotArea type="data" outline="0" fieldPosition="0">
        <references count="2">
          <reference field="4294967294" count="1" selected="0">
            <x v="0"/>
          </reference>
          <reference field="21" count="1" selected="0">
            <x v="12"/>
          </reference>
        </references>
      </pivotArea>
    </chartFormat>
    <chartFormat chart="8" format="49" series="1">
      <pivotArea type="data" outline="0" fieldPosition="0">
        <references count="1">
          <reference field="4294967294" count="1" selected="0">
            <x v="0"/>
          </reference>
        </references>
      </pivotArea>
    </chartFormat>
    <chartFormat chart="8" format="50">
      <pivotArea type="data" outline="0" fieldPosition="0">
        <references count="2">
          <reference field="4294967294" count="1" selected="0">
            <x v="0"/>
          </reference>
          <reference field="21" count="1" selected="0">
            <x v="1"/>
          </reference>
        </references>
      </pivotArea>
    </chartFormat>
    <chartFormat chart="8" format="51">
      <pivotArea type="data" outline="0" fieldPosition="0">
        <references count="2">
          <reference field="4294967294" count="1" selected="0">
            <x v="0"/>
          </reference>
          <reference field="21" count="1" selected="0">
            <x v="2"/>
          </reference>
        </references>
      </pivotArea>
    </chartFormat>
    <chartFormat chart="8" format="52">
      <pivotArea type="data" outline="0" fieldPosition="0">
        <references count="2">
          <reference field="4294967294" count="1" selected="0">
            <x v="0"/>
          </reference>
          <reference field="21" count="1" selected="0">
            <x v="3"/>
          </reference>
        </references>
      </pivotArea>
    </chartFormat>
    <chartFormat chart="8" format="53">
      <pivotArea type="data" outline="0" fieldPosition="0">
        <references count="2">
          <reference field="4294967294" count="1" selected="0">
            <x v="0"/>
          </reference>
          <reference field="21" count="1" selected="0">
            <x v="4"/>
          </reference>
        </references>
      </pivotArea>
    </chartFormat>
    <chartFormat chart="8" format="54">
      <pivotArea type="data" outline="0" fieldPosition="0">
        <references count="2">
          <reference field="4294967294" count="1" selected="0">
            <x v="0"/>
          </reference>
          <reference field="21" count="1" selected="0">
            <x v="5"/>
          </reference>
        </references>
      </pivotArea>
    </chartFormat>
    <chartFormat chart="8" format="55">
      <pivotArea type="data" outline="0" fieldPosition="0">
        <references count="2">
          <reference field="4294967294" count="1" selected="0">
            <x v="0"/>
          </reference>
          <reference field="21" count="1" selected="0">
            <x v="6"/>
          </reference>
        </references>
      </pivotArea>
    </chartFormat>
    <chartFormat chart="8" format="56">
      <pivotArea type="data" outline="0" fieldPosition="0">
        <references count="2">
          <reference field="4294967294" count="1" selected="0">
            <x v="0"/>
          </reference>
          <reference field="21" count="1" selected="0">
            <x v="7"/>
          </reference>
        </references>
      </pivotArea>
    </chartFormat>
    <chartFormat chart="8" format="57">
      <pivotArea type="data" outline="0" fieldPosition="0">
        <references count="2">
          <reference field="4294967294" count="1" selected="0">
            <x v="0"/>
          </reference>
          <reference field="21" count="1" selected="0">
            <x v="8"/>
          </reference>
        </references>
      </pivotArea>
    </chartFormat>
    <chartFormat chart="8" format="58">
      <pivotArea type="data" outline="0" fieldPosition="0">
        <references count="2">
          <reference field="4294967294" count="1" selected="0">
            <x v="0"/>
          </reference>
          <reference field="21" count="1" selected="0">
            <x v="9"/>
          </reference>
        </references>
      </pivotArea>
    </chartFormat>
    <chartFormat chart="8" format="59">
      <pivotArea type="data" outline="0" fieldPosition="0">
        <references count="2">
          <reference field="4294967294" count="1" selected="0">
            <x v="0"/>
          </reference>
          <reference field="21" count="1" selected="0">
            <x v="10"/>
          </reference>
        </references>
      </pivotArea>
    </chartFormat>
    <chartFormat chart="8" format="60">
      <pivotArea type="data" outline="0" fieldPosition="0">
        <references count="2">
          <reference field="4294967294" count="1" selected="0">
            <x v="0"/>
          </reference>
          <reference field="21" count="1" selected="0">
            <x v="11"/>
          </reference>
        </references>
      </pivotArea>
    </chartFormat>
    <chartFormat chart="8" format="61">
      <pivotArea type="data" outline="0" fieldPosition="0">
        <references count="2">
          <reference field="4294967294" count="1" selected="0">
            <x v="0"/>
          </reference>
          <reference field="21" count="1" selected="0">
            <x v="12"/>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559EF0-ABAC-49C9-B27B-91AD908B8D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Region">
  <location ref="N5:O16" firstHeaderRow="1" firstDataRow="1" firstDataCol="1"/>
  <pivotFields count="20">
    <pivotField dataField="1" showAll="0"/>
    <pivotField axis="axisRow" showAll="0">
      <items count="11">
        <item x="7"/>
        <item x="6"/>
        <item x="0"/>
        <item x="4"/>
        <item x="3"/>
        <item x="2"/>
        <item x="1"/>
        <item x="9"/>
        <item x="5"/>
        <item x="8"/>
        <item t="default"/>
      </items>
    </pivotField>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Customers" fld="0" subtotal="count" baseField="0" baseItem="0"/>
  </dataFields>
  <chartFormats count="12">
    <chartFormat chart="28" format="0" series="1">
      <pivotArea type="data" outline="0" fieldPosition="0">
        <references count="1">
          <reference field="4294967294" count="1" selected="0">
            <x v="0"/>
          </reference>
        </references>
      </pivotArea>
    </chartFormat>
    <chartFormat chart="36" format="12" series="1">
      <pivotArea type="data" outline="0" fieldPosition="0">
        <references count="1">
          <reference field="4294967294" count="1" selected="0">
            <x v="0"/>
          </reference>
        </references>
      </pivotArea>
    </chartFormat>
    <chartFormat chart="36" format="13">
      <pivotArea type="data" outline="0" fieldPosition="0">
        <references count="2">
          <reference field="4294967294" count="1" selected="0">
            <x v="0"/>
          </reference>
          <reference field="1" count="1" selected="0">
            <x v="0"/>
          </reference>
        </references>
      </pivotArea>
    </chartFormat>
    <chartFormat chart="36" format="14">
      <pivotArea type="data" outline="0" fieldPosition="0">
        <references count="2">
          <reference field="4294967294" count="1" selected="0">
            <x v="0"/>
          </reference>
          <reference field="1" count="1" selected="0">
            <x v="1"/>
          </reference>
        </references>
      </pivotArea>
    </chartFormat>
    <chartFormat chart="36" format="15">
      <pivotArea type="data" outline="0" fieldPosition="0">
        <references count="2">
          <reference field="4294967294" count="1" selected="0">
            <x v="0"/>
          </reference>
          <reference field="1" count="1" selected="0">
            <x v="2"/>
          </reference>
        </references>
      </pivotArea>
    </chartFormat>
    <chartFormat chart="36" format="16">
      <pivotArea type="data" outline="0" fieldPosition="0">
        <references count="2">
          <reference field="4294967294" count="1" selected="0">
            <x v="0"/>
          </reference>
          <reference field="1" count="1" selected="0">
            <x v="3"/>
          </reference>
        </references>
      </pivotArea>
    </chartFormat>
    <chartFormat chart="36" format="17">
      <pivotArea type="data" outline="0" fieldPosition="0">
        <references count="2">
          <reference field="4294967294" count="1" selected="0">
            <x v="0"/>
          </reference>
          <reference field="1" count="1" selected="0">
            <x v="4"/>
          </reference>
        </references>
      </pivotArea>
    </chartFormat>
    <chartFormat chart="36" format="18">
      <pivotArea type="data" outline="0" fieldPosition="0">
        <references count="2">
          <reference field="4294967294" count="1" selected="0">
            <x v="0"/>
          </reference>
          <reference field="1" count="1" selected="0">
            <x v="5"/>
          </reference>
        </references>
      </pivotArea>
    </chartFormat>
    <chartFormat chart="36" format="19">
      <pivotArea type="data" outline="0" fieldPosition="0">
        <references count="2">
          <reference field="4294967294" count="1" selected="0">
            <x v="0"/>
          </reference>
          <reference field="1" count="1" selected="0">
            <x v="6"/>
          </reference>
        </references>
      </pivotArea>
    </chartFormat>
    <chartFormat chart="36" format="20">
      <pivotArea type="data" outline="0" fieldPosition="0">
        <references count="2">
          <reference field="4294967294" count="1" selected="0">
            <x v="0"/>
          </reference>
          <reference field="1" count="1" selected="0">
            <x v="7"/>
          </reference>
        </references>
      </pivotArea>
    </chartFormat>
    <chartFormat chart="36" format="21">
      <pivotArea type="data" outline="0" fieldPosition="0">
        <references count="2">
          <reference field="4294967294" count="1" selected="0">
            <x v="0"/>
          </reference>
          <reference field="1" count="1" selected="0">
            <x v="8"/>
          </reference>
        </references>
      </pivotArea>
    </chartFormat>
    <chartFormat chart="36" format="22">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914F7C-947F-4EE8-ABCC-3C0A7A735906}" name="PivotTable1"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
  <location ref="A5:G17" firstHeaderRow="1" firstDataRow="2" firstDataCol="1"/>
  <pivotFields count="24">
    <pivotField compact="0" showAll="0"/>
    <pivotField axis="axisRow" compact="0" showAll="0">
      <items count="11">
        <item x="5"/>
        <item x="8"/>
        <item x="0"/>
        <item x="7"/>
        <item x="9"/>
        <item x="1"/>
        <item x="3"/>
        <item x="6"/>
        <item x="2"/>
        <item x="4"/>
        <item t="default"/>
      </items>
    </pivotField>
    <pivotField compact="0" numFmtId="14" showAll="0">
      <items count="135">
        <item x="50"/>
        <item x="28"/>
        <item x="57"/>
        <item x="95"/>
        <item x="62"/>
        <item x="6"/>
        <item x="76"/>
        <item x="81"/>
        <item x="24"/>
        <item x="119"/>
        <item x="128"/>
        <item x="52"/>
        <item x="56"/>
        <item x="98"/>
        <item x="123"/>
        <item x="69"/>
        <item x="66"/>
        <item x="27"/>
        <item x="73"/>
        <item x="30"/>
        <item x="71"/>
        <item x="89"/>
        <item x="129"/>
        <item x="108"/>
        <item x="26"/>
        <item x="121"/>
        <item x="8"/>
        <item x="86"/>
        <item x="114"/>
        <item x="127"/>
        <item x="133"/>
        <item x="94"/>
        <item x="12"/>
        <item x="87"/>
        <item x="58"/>
        <item x="80"/>
        <item x="96"/>
        <item x="14"/>
        <item x="103"/>
        <item x="19"/>
        <item x="53"/>
        <item x="42"/>
        <item x="118"/>
        <item x="2"/>
        <item x="105"/>
        <item x="100"/>
        <item x="60"/>
        <item x="18"/>
        <item x="34"/>
        <item x="20"/>
        <item x="109"/>
        <item x="132"/>
        <item x="13"/>
        <item x="1"/>
        <item x="79"/>
        <item x="122"/>
        <item x="48"/>
        <item x="68"/>
        <item x="111"/>
        <item x="35"/>
        <item x="82"/>
        <item x="22"/>
        <item x="29"/>
        <item x="37"/>
        <item x="40"/>
        <item x="115"/>
        <item x="92"/>
        <item x="112"/>
        <item x="5"/>
        <item x="0"/>
        <item x="33"/>
        <item x="77"/>
        <item x="9"/>
        <item x="131"/>
        <item x="46"/>
        <item x="10"/>
        <item x="23"/>
        <item x="47"/>
        <item x="15"/>
        <item x="78"/>
        <item x="49"/>
        <item x="61"/>
        <item x="75"/>
        <item x="39"/>
        <item x="116"/>
        <item x="55"/>
        <item x="63"/>
        <item x="125"/>
        <item x="101"/>
        <item x="106"/>
        <item x="43"/>
        <item x="51"/>
        <item x="32"/>
        <item x="91"/>
        <item x="59"/>
        <item x="67"/>
        <item x="41"/>
        <item x="65"/>
        <item x="110"/>
        <item x="102"/>
        <item x="3"/>
        <item x="36"/>
        <item x="70"/>
        <item x="45"/>
        <item x="113"/>
        <item x="126"/>
        <item x="7"/>
        <item x="17"/>
        <item x="97"/>
        <item x="130"/>
        <item x="72"/>
        <item x="21"/>
        <item x="85"/>
        <item x="54"/>
        <item x="83"/>
        <item x="93"/>
        <item x="90"/>
        <item x="44"/>
        <item x="124"/>
        <item x="25"/>
        <item x="88"/>
        <item x="99"/>
        <item x="38"/>
        <item x="117"/>
        <item x="64"/>
        <item x="16"/>
        <item x="11"/>
        <item x="31"/>
        <item x="84"/>
        <item x="120"/>
        <item x="107"/>
        <item x="104"/>
        <item x="74"/>
        <item x="4"/>
        <item t="default"/>
      </items>
    </pivotField>
    <pivotField compact="0" numFmtId="14"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axis="axisCol" compact="0" showAll="0">
      <items count="6">
        <item x="2"/>
        <item x="3"/>
        <item x="1"/>
        <item x="4"/>
        <item x="0"/>
        <item t="default"/>
      </items>
    </pivotField>
    <pivotField compact="0" showAll="0"/>
    <pivotField compact="0" showAll="0"/>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5">
        <item x="0"/>
        <item x="1"/>
        <item x="2"/>
        <item x="3"/>
        <item t="default"/>
      </items>
    </pivotField>
  </pivotFields>
  <rowFields count="1">
    <field x="1"/>
  </rowFields>
  <rowItems count="11">
    <i>
      <x/>
    </i>
    <i>
      <x v="1"/>
    </i>
    <i>
      <x v="2"/>
    </i>
    <i>
      <x v="3"/>
    </i>
    <i>
      <x v="4"/>
    </i>
    <i>
      <x v="5"/>
    </i>
    <i>
      <x v="6"/>
    </i>
    <i>
      <x v="7"/>
    </i>
    <i>
      <x v="8"/>
    </i>
    <i>
      <x v="9"/>
    </i>
    <i t="grand">
      <x/>
    </i>
  </rowItems>
  <colFields count="1">
    <field x="14"/>
  </colFields>
  <colItems count="6">
    <i>
      <x/>
    </i>
    <i>
      <x v="1"/>
    </i>
    <i>
      <x v="2"/>
    </i>
    <i>
      <x v="3"/>
    </i>
    <i>
      <x v="4"/>
    </i>
    <i t="grand">
      <x/>
    </i>
  </colItems>
  <dataFields count="1">
    <dataField name="Sum of Total Subscription Charges ($)" fld="6" baseField="0" baseItem="0"/>
  </dataFields>
  <conditionalFormats count="1">
    <conditionalFormat priority="4">
      <pivotAreas count="1">
        <pivotArea type="data" collapsedLevelsAreSubtotals="1" fieldPosition="0">
          <references count="3">
            <reference field="4294967294" count="1" selected="0">
              <x v="0"/>
            </reference>
            <reference field="1" count="10">
              <x v="0"/>
              <x v="1"/>
              <x v="2"/>
              <x v="3"/>
              <x v="4"/>
              <x v="5"/>
              <x v="6"/>
              <x v="7"/>
              <x v="8"/>
              <x v="9"/>
            </reference>
            <reference field="14" count="5" selected="0">
              <x v="0"/>
              <x v="1"/>
              <x v="2"/>
              <x v="3"/>
              <x v="4"/>
            </reference>
          </references>
        </pivotArea>
      </pivotAreas>
    </conditionalFormat>
  </conditionalFormats>
  <chartFormats count="5">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4ED5A4-6911-4CD0-990F-EE6A0EA231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I Adoption Level">
  <location ref="A33:B37" firstHeaderRow="1" firstDataRow="1" firstDataCol="1"/>
  <pivotFields count="20">
    <pivotField showAll="0"/>
    <pivotField showAll="0"/>
    <pivotField showAll="0"/>
    <pivotField showAll="0"/>
    <pivotField showAll="0"/>
    <pivotField dataField="1"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Sum of Total IBM Revenue Contribution ($)" fld="5" baseField="0" baseItem="0"/>
  </dataFields>
  <conditionalFormats count="1">
    <conditionalFormat priority="3">
      <pivotAreas count="1">
        <pivotArea type="data" collapsedLevelsAreSubtotals="1" fieldPosition="0">
          <references count="2">
            <reference field="4294967294" count="1" selected="0">
              <x v="0"/>
            </reference>
            <reference field="11" count="3">
              <x v="0"/>
              <x v="1"/>
              <x v="2"/>
            </reference>
          </references>
        </pivotArea>
      </pivotAreas>
    </conditionalFormat>
  </conditional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B0BA6E-B2FD-4B61-B50E-850B27596FFD}" sourceName="Region">
  <pivotTables>
    <pivotTable tabId="13" name="PivotTable1"/>
  </pivotTables>
  <data>
    <tabular pivotCacheId="240157801">
      <items count="10">
        <i x="5" s="1"/>
        <i x="8" s="1"/>
        <i x="0" s="1"/>
        <i x="7" s="1"/>
        <i x="9" s="1"/>
        <i x="1" s="1"/>
        <i x="3" s="1"/>
        <i x="6"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508CFA9-EDCE-4BF6-8ADD-22C1574CA53F}" sourceName="Region">
  <pivotTables>
    <pivotTable tabId="13" name="PivotTable2"/>
  </pivotTables>
  <data>
    <tabular pivotCacheId="457587327">
      <items count="10">
        <i x="7" s="1"/>
        <i x="6" s="1"/>
        <i x="0" s="1"/>
        <i x="4" s="1"/>
        <i x="3" s="1"/>
        <i x="2" s="1"/>
        <i x="1" s="1"/>
        <i x="9" s="1"/>
        <i x="5"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Adoption_Level" xr10:uid="{03534CD2-8223-41AF-B1FB-BE958382A38A}" sourceName="AI Adoption Level">
  <pivotTables>
    <pivotTable tabId="13" name="PivotTable3"/>
    <pivotTable tabId="13" name="PivotTable8"/>
  </pivotTables>
  <data>
    <tabular pivotCacheId="45758732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_Sector" xr10:uid="{A4C2DBE8-250D-4C8A-913F-34873C3DF051}" sourceName="Industry Sector">
  <pivotTables>
    <pivotTable tabId="13" name="PivotTable4"/>
  </pivotTables>
  <data>
    <tabular pivotCacheId="457587327">
      <items count="5">
        <i x="2" s="1"/>
        <i x="3" s="1"/>
        <i x="0"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C8C05DF1-6FA4-412D-8B4A-32C0780B51F9}" sourceName="Region">
  <pivotTables>
    <pivotTable tabId="13" name="PivotTable5"/>
  </pivotTables>
  <data>
    <tabular pivotCacheId="457587327">
      <items count="10">
        <i x="7" s="1"/>
        <i x="6" s="1"/>
        <i x="0" s="1"/>
        <i x="4" s="1"/>
        <i x="3" s="1"/>
        <i x="2" s="1"/>
        <i x="1" s="1"/>
        <i x="9" s="1"/>
        <i x="5"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Joined" xr10:uid="{D3EABDC4-11EC-4BFA-9377-894F4D2B11FA}" sourceName="Months (Date Joined)">
  <pivotTables>
    <pivotTable tabId="13" name="PivotTable6"/>
  </pivotTables>
  <data>
    <tabular pivotCacheId="240157801">
      <items count="14">
        <i x="1" s="1"/>
        <i x="2" s="1"/>
        <i x="3" s="1"/>
        <i x="4" s="1"/>
        <i x="5" s="1"/>
        <i x="6" s="1"/>
        <i x="7" s="1"/>
        <i x="8" s="1"/>
        <i x="9" s="1"/>
        <i x="10" s="1"/>
        <i x="11" s="1"/>
        <i x="12" s="1"/>
        <i x="0" s="1" nd="1"/>
        <i x="1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_Sector1" xr10:uid="{00795E71-9364-4A20-836D-587DC8FB099B}" sourceName="Industry Sector">
  <pivotTables>
    <pivotTable tabId="13" name="PivotTable8"/>
  </pivotTables>
  <data>
    <tabular pivotCacheId="457587327">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Charges by Region" xr10:uid="{FB2487F0-B593-4EF5-936B-A169FC3971E1}" cache="Slicer_Region" caption="Subscription Charges by Region" rowHeight="234950"/>
  <slicer name="Region" xr10:uid="{CDCDA9FC-0CCB-4C7B-A7E3-DAA4CB66BF28}" cache="Slicer_Region1" caption="Total IBM Revenue Contribution by Region" rowHeight="234950"/>
  <slicer name="AI Adoption Level" xr10:uid="{0F41E18F-2372-425C-AB5E-55BDBC38C5E2}" cache="Slicer_AI_Adoption_Level" caption="AI Adoption Level" rowHeight="234950"/>
  <slicer name="Industry Sector" xr10:uid="{045CEF92-F79D-4A16-8C46-D1332575C76D}" cache="Slicer_Industry_Sector" caption="Industry Sector" rowHeight="234950"/>
  <slicer name="Region 1" xr10:uid="{627ED9DD-5BD6-4AC2-B5A8-CE93E80EBD7A}" cache="Slicer_Region2" caption="Region" rowHeight="234950"/>
  <slicer name="Months (Date Joined)" xr10:uid="{B85941FF-06C0-4567-B258-07C100EFE5AB}" cache="Slicer_Months__Date_Joined" caption="Months (Date Joined)" rowHeight="234950"/>
  <slicer name="Industry Sector 1" xr10:uid="{F965FB85-129B-4CFF-A2AE-4C73DFC85ABC}" cache="Slicer_Industry_Sector1" caption="Industry Secto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B7C019-306D-4838-82BE-ECBB87F788BF}" name="Table2" displayName="Table2" ref="X1:AC2" totalsRowShown="0" dataDxfId="52" headerRowCellStyle="Normal">
  <tableColumns count="6">
    <tableColumn id="1" xr3:uid="{0F2D2491-AC4B-41A2-A937-0B36D02713B2}" name="Total IBM Revenue Contribution With Respect to Churned Clients" dataDxfId="51">
      <calculatedColumnFormula>SUMIF(Dataset!$J$2:$J$151,"Yes",Dataset!$H$2:$H$151)</calculatedColumnFormula>
    </tableColumn>
    <tableColumn id="2" xr3:uid="{40CFABAF-D7E9-41F8-8949-4A78662DC927}" name="Average IBM Contributon" dataDxfId="50">
      <calculatedColumnFormula>AVERAGE(Dataset!$H$2:$H$151)</calculatedColumnFormula>
    </tableColumn>
    <tableColumn id="3" xr3:uid="{65172452-3961-4027-886E-788D654871B6}" name="Maximum  IBM Contributon" dataDxfId="49">
      <calculatedColumnFormula>MAX(Dataset!$H$2:$H$151)</calculatedColumnFormula>
    </tableColumn>
    <tableColumn id="4" xr3:uid="{013815C1-C63C-4B10-8ABE-6D16C4F1F7EB}" name="Minimum IBM Contributon" dataDxfId="48">
      <calculatedColumnFormula>MIN(Dataset!$H$2:$H$151)</calculatedColumnFormula>
    </tableColumn>
    <tableColumn id="5" xr3:uid="{6B81C4C4-19A5-436A-8254-79C844057933}" name="Median of IBM Contributon" dataDxfId="47">
      <calculatedColumnFormula>MEDIAN(Dataset!$H$2:$H$151)</calculatedColumnFormula>
    </tableColumn>
    <tableColumn id="6" xr3:uid="{803A20A8-8448-46A4-A514-2E405930AC02}" name="Standard Deviation of IBM Contributon" dataDxfId="46">
      <calculatedColumnFormula>_xlfn.STDEV.P(Dataset!$H$2:$H$151)</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5BAD72A-D765-4482-BC26-5BB3E2E6B818}" name="Table" displayName="Table" ref="A1:U151" totalsRowShown="0" headerRowDxfId="45" dataDxfId="44" tableBorderDxfId="43">
  <autoFilter ref="A1:U151" xr:uid="{75BAD72A-D765-4482-BC26-5BB3E2E6B818}"/>
  <tableColumns count="21">
    <tableColumn id="1" xr3:uid="{3C226810-A24B-4DF5-ABA9-A9A0025807FA}" name="Customer Age" dataDxfId="42" totalsRowDxfId="41"/>
    <tableColumn id="2" xr3:uid="{BAE614B4-1EE2-4878-AF4A-D62E6C301EEE}" name="Region" dataDxfId="40" totalsRowDxfId="39"/>
    <tableColumn id="3" xr3:uid="{01B40C78-7C5A-4369-9CC8-6BE53186AC0C}" name="Date Joined" dataDxfId="38" totalsRowDxfId="37"/>
    <tableColumn id="4" xr3:uid="{F688A471-6885-4B11-98E1-3F51C3CFCF6D}" name="End Date" dataDxfId="36" totalsRowDxfId="35">
      <calculatedColumnFormula>EDATE(C2,F2)</calculatedColumnFormula>
    </tableColumn>
    <tableColumn id="5" xr3:uid="{9D30FC18-C7E1-41B9-9544-C8E2FCCB9C2A}" name="Monthly Subscription ($)" dataDxfId="34" totalsRowDxfId="33"/>
    <tableColumn id="6" xr3:uid="{AB4B5028-2857-409C-A5FB-750EA958A81C}" name="Tenure (Months)" dataDxfId="32" totalsRowDxfId="31"/>
    <tableColumn id="7" xr3:uid="{7683A22A-8ACB-4C7B-B9E0-098E812E9DAA}" name="Total Subscription Charges ($)" dataDxfId="30" totalsRowDxfId="29"/>
    <tableColumn id="8" xr3:uid="{1FDB3E4B-2CD9-4420-90F6-8659FB3AF2F3}" name="Total IBM Revenue Contribution ($)" dataDxfId="28" totalsRowDxfId="27"/>
    <tableColumn id="9" xr3:uid="{3F398E73-3B5A-4560-9FEF-83C062739244}" name="Client Satisfaction Score" dataDxfId="26" totalsRowDxfId="25"/>
    <tableColumn id="10" xr3:uid="{1A0741C8-D52F-4AC6-8121-6775CC4EE1F1}" name="Churned (Yes/No)" dataDxfId="24" totalsRowDxfId="23"/>
    <tableColumn id="11" xr3:uid="{08202393-E275-4ECA-91FB-13919AC25B75}" name="Client Risk Score" dataDxfId="22" totalsRowDxfId="21"/>
    <tableColumn id="12" xr3:uid="{B2425F6F-235B-4813-8AF6-23070622CC77}" name="Predicted Client Lifetime Value ($)" dataDxfId="20" totalsRowDxfId="19"/>
    <tableColumn id="13" xr3:uid="{19FA0883-3187-4562-BA59-C7B18A7D27E9}" name="Cloud Platform Used" dataDxfId="18" totalsRowDxfId="17"/>
    <tableColumn id="14" xr3:uid="{1A5C2F38-9108-4780-81BD-912EFD06F388}" name="AI Adoption Level" dataDxfId="16" totalsRowDxfId="15"/>
    <tableColumn id="15" xr3:uid="{C46B32BE-F652-453B-AD52-E798ADB8AFA1}" name="Industry Sector" dataDxfId="14" totalsRowDxfId="13"/>
    <tableColumn id="16" xr3:uid="{51FB358F-1FE2-40C6-A1E0-EC0843C9A5C1}" name="Data Compliance Status" dataDxfId="12" totalsRowDxfId="11"/>
    <tableColumn id="17" xr3:uid="{198EAEAE-E7CB-4DF0-8648-B952AA43DE7E}" name="Bias Risk Score" dataDxfId="10" totalsRowDxfId="9"/>
    <tableColumn id="18" xr3:uid="{18C1C1F9-E961-4B8B-8DAE-C854EBBC3E7A}" name="Data Security Level" dataDxfId="8" totalsRowDxfId="7"/>
    <tableColumn id="19" xr3:uid="{236E3496-BA36-421E-861E-D13398EE48DC}" name="Analytics Tool Used" dataDxfId="6" totalsRowDxfId="5"/>
    <tableColumn id="20" xr3:uid="{C3165CE9-8ABB-466B-BBA5-0B3381DD983E}" name="Visualization Effectiveness Score" dataDxfId="4" totalsRowDxfId="3"/>
    <tableColumn id="21" xr3:uid="{58CF6F3D-74CF-4D5C-9DA9-406F940E582A}" name="Low Sat &amp; High Risk" dataDxfId="2" totalsRowDxfId="1"/>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171717"/>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3A39AF4-CF93-469D-9A59-CB5E3C5DF439}">
  <we:reference id="wa200000019" version="25.0.2.0" store="en-US" storeType="OMEX"/>
  <we:alternateReferences>
    <we:reference id="wa200000019" version="25.0.2.0" store="WA20000001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PSIFORECAST</we:customFunctionIds>
        <we:customFunctionIds>PSIPREDICT</we:customFunctionIds>
        <we:customFunctionIds>PSIPOSTERIORS</we:customFunctionIds>
        <we:customFunctionIds>PSITRANSFORM</we:customFunctionIds>
      </we:customFunctionIdList>
    </a:ext>
  </we:extLst>
</we:webextension>
</file>

<file path=xl/webextensions/webextension2.xml><?xml version="1.0" encoding="utf-8"?>
<we:webextension xmlns:we="http://schemas.microsoft.com/office/webextensions/webextension/2010/11" id="{94880475-D5E1-4A4C-901D-B9C74A42FB11}">
  <we:reference id="wa104379190" version="2.0.0.0" store="en-US" storeType="OMEX"/>
  <we:alternateReferences>
    <we:reference id="WA104379190" version="2.0.0.0" store="WA104379190" storeType="OMEX"/>
  </we:alternateReferences>
  <we:properties/>
  <we:bindings>
    <we:binding id="RangeSelect" type="matrix" appref="{5FF99D3F-C24B-4FD6-8AFD-4684D44D108F}"/>
    <we:binding id="InputY" type="matrix" appref="{C90EA697-DF85-40FE-8642-4494CF9965F1}"/>
    <we:binding id="InputX" type="matrix" appref="{1EBABE51-D96F-4F7F-BDD7-B0F2FB326F8B}"/>
    <we:binding id="Output" type="matrix" appref="{6F2AB1A2-8FA4-4DD3-914B-553EFECAE83E}"/>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92632-649F-4C68-A48F-C107A0790635}">
  <dimension ref="A1:AK151"/>
  <sheetViews>
    <sheetView zoomScale="90" zoomScaleNormal="100" workbookViewId="0">
      <selection activeCell="G17" sqref="G17"/>
    </sheetView>
  </sheetViews>
  <sheetFormatPr defaultRowHeight="13.8" x14ac:dyDescent="0.25"/>
  <cols>
    <col min="1" max="1" width="14.69921875" style="1" customWidth="1"/>
    <col min="2" max="2" width="22.3984375" style="7" customWidth="1"/>
    <col min="3" max="3" width="22.3984375" style="18" customWidth="1"/>
    <col min="4" max="4" width="22.3984375" style="11" customWidth="1"/>
    <col min="5" max="5" width="28.09765625" style="1" customWidth="1"/>
    <col min="6" max="6" width="18.796875" style="1" customWidth="1"/>
    <col min="7" max="7" width="32.796875" style="1" customWidth="1"/>
    <col min="8" max="8" width="33.8984375" style="1" customWidth="1"/>
    <col min="9" max="9" width="25.59765625" style="1" customWidth="1"/>
    <col min="10" max="10" width="18.3984375" style="1" customWidth="1"/>
    <col min="11" max="11" width="22.296875" style="1" customWidth="1"/>
    <col min="12" max="12" width="27" style="1" customWidth="1"/>
    <col min="13" max="13" width="24.09765625" style="1" customWidth="1"/>
    <col min="14" max="15" width="22.69921875" style="1" customWidth="1"/>
    <col min="16" max="16" width="30.69921875" style="1" customWidth="1"/>
    <col min="17" max="17" width="30.69921875" style="2" customWidth="1"/>
    <col min="18" max="18" width="23" style="2" customWidth="1"/>
    <col min="19" max="19" width="21.09765625" style="1" customWidth="1"/>
    <col min="20" max="20" width="19.296875" style="4" customWidth="1"/>
    <col min="21" max="21" width="25.69921875" customWidth="1"/>
    <col min="22" max="22" width="25.09765625" customWidth="1"/>
    <col min="23" max="23" width="23.296875" style="3" customWidth="1"/>
    <col min="24" max="24" width="59.3984375" style="3" customWidth="1"/>
    <col min="25" max="25" width="25.3984375" customWidth="1"/>
    <col min="26" max="26" width="24.8984375" style="3" customWidth="1"/>
    <col min="27" max="27" width="35.296875" style="21" customWidth="1"/>
    <col min="28" max="28" width="35.296875" style="22" customWidth="1"/>
    <col min="29" max="29" width="35.296875" style="18" customWidth="1"/>
    <col min="30" max="30" width="12.796875" customWidth="1"/>
    <col min="31" max="31" width="14.5" style="10" customWidth="1"/>
    <col min="32" max="32" width="15.796875" customWidth="1"/>
    <col min="33" max="33" width="17.59765625" customWidth="1"/>
  </cols>
  <sheetData>
    <row r="1" spans="1:32" s="7" customFormat="1" x14ac:dyDescent="0.25">
      <c r="A1" s="12" t="s">
        <v>0</v>
      </c>
      <c r="B1" s="12" t="s">
        <v>43</v>
      </c>
      <c r="C1" s="19" t="s">
        <v>63</v>
      </c>
      <c r="D1" s="11" t="s">
        <v>65</v>
      </c>
      <c r="E1" s="12" t="s">
        <v>2</v>
      </c>
      <c r="F1" s="12" t="s">
        <v>1</v>
      </c>
      <c r="G1" s="12" t="s">
        <v>3</v>
      </c>
      <c r="H1" s="12" t="s">
        <v>4</v>
      </c>
      <c r="I1" s="12" t="s">
        <v>5</v>
      </c>
      <c r="J1" s="12" t="s">
        <v>6</v>
      </c>
      <c r="K1" s="12" t="s">
        <v>7</v>
      </c>
      <c r="L1" s="12" t="s">
        <v>8</v>
      </c>
      <c r="M1" s="12" t="s">
        <v>9</v>
      </c>
      <c r="N1" s="12" t="s">
        <v>10</v>
      </c>
      <c r="O1" s="12" t="s">
        <v>11</v>
      </c>
      <c r="P1" s="12" t="s">
        <v>12</v>
      </c>
      <c r="Q1" s="12" t="s">
        <v>13</v>
      </c>
      <c r="R1" s="12" t="s">
        <v>14</v>
      </c>
      <c r="S1" s="12" t="s">
        <v>15</v>
      </c>
      <c r="T1" s="12" t="s">
        <v>16</v>
      </c>
      <c r="U1" s="12" t="s">
        <v>37</v>
      </c>
      <c r="V1" s="4" t="s">
        <v>36</v>
      </c>
      <c r="W1" s="7" t="s">
        <v>39</v>
      </c>
      <c r="X1" s="3" t="s">
        <v>54</v>
      </c>
      <c r="Y1" s="3" t="s">
        <v>55</v>
      </c>
      <c r="Z1" s="7" t="s">
        <v>56</v>
      </c>
      <c r="AA1" s="3" t="s">
        <v>57</v>
      </c>
      <c r="AB1" s="2" t="s">
        <v>58</v>
      </c>
      <c r="AC1" s="3" t="s">
        <v>59</v>
      </c>
      <c r="AD1" s="10"/>
      <c r="AE1" s="18"/>
      <c r="AF1" s="10"/>
    </row>
    <row r="2" spans="1:32" x14ac:dyDescent="0.25">
      <c r="A2" s="15">
        <v>38</v>
      </c>
      <c r="B2" s="15" t="s">
        <v>44</v>
      </c>
      <c r="C2" s="13">
        <v>44238</v>
      </c>
      <c r="D2" s="11">
        <f t="shared" ref="D2:D33" si="0">EDATE(C2,F2)</f>
        <v>44541</v>
      </c>
      <c r="E2" s="15">
        <v>49.25</v>
      </c>
      <c r="F2" s="15">
        <v>10</v>
      </c>
      <c r="G2" s="15">
        <v>91.1</v>
      </c>
      <c r="H2" s="15">
        <v>179.08</v>
      </c>
      <c r="I2" s="15">
        <v>2</v>
      </c>
      <c r="J2" s="15" t="s">
        <v>17</v>
      </c>
      <c r="K2" s="15">
        <v>95</v>
      </c>
      <c r="L2" s="15">
        <v>3475</v>
      </c>
      <c r="M2" s="15" t="s">
        <v>24</v>
      </c>
      <c r="N2" s="15" t="s">
        <v>22</v>
      </c>
      <c r="O2" s="15" t="s">
        <v>35</v>
      </c>
      <c r="P2" s="15" t="s">
        <v>21</v>
      </c>
      <c r="Q2" s="15">
        <v>2</v>
      </c>
      <c r="R2" s="15" t="s">
        <v>22</v>
      </c>
      <c r="S2" s="15" t="s">
        <v>23</v>
      </c>
      <c r="T2" s="15">
        <v>3</v>
      </c>
      <c r="U2" s="15" t="s">
        <v>17</v>
      </c>
      <c r="V2" s="4">
        <v>0</v>
      </c>
      <c r="W2" s="4" cm="1">
        <f t="array" ref="W2:W151">IF(J2:J151="Yes", 1, 0)</f>
        <v>1</v>
      </c>
      <c r="X2" s="8">
        <f>SUMIF(Dataset!$J$2:$J$151,"Yes",Dataset!$H$2:$H$151)</f>
        <v>121780.87000000001</v>
      </c>
      <c r="Y2" s="8">
        <f>AVERAGE(Dataset!$H$2:$H$151)</f>
        <v>2086.9013333333337</v>
      </c>
      <c r="Z2" s="8">
        <f>MAX(Dataset!$H$2:$H$151)</f>
        <v>10690.92</v>
      </c>
      <c r="AA2" s="8">
        <f>MIN(Dataset!$H$2:$H$151)</f>
        <v>25.2</v>
      </c>
      <c r="AB2" s="8">
        <f>MEDIAN(Dataset!$H$2:$H$151)</f>
        <v>1363.7449999999999</v>
      </c>
      <c r="AC2" s="8">
        <f>_xlfn.STDEV.P(Dataset!$H$2:$H$151)</f>
        <v>2298.5641577406986</v>
      </c>
      <c r="AD2" s="20"/>
      <c r="AE2" s="18"/>
      <c r="AF2" s="10"/>
    </row>
    <row r="3" spans="1:32" x14ac:dyDescent="0.25">
      <c r="A3" s="16">
        <v>29</v>
      </c>
      <c r="B3" s="16" t="s">
        <v>46</v>
      </c>
      <c r="C3" s="14">
        <v>44149</v>
      </c>
      <c r="D3" s="11">
        <f t="shared" si="0"/>
        <v>44544</v>
      </c>
      <c r="E3" s="16">
        <v>85.6</v>
      </c>
      <c r="F3" s="16">
        <v>13</v>
      </c>
      <c r="G3" s="16">
        <v>1345.55</v>
      </c>
      <c r="H3" s="16">
        <v>2024.3</v>
      </c>
      <c r="I3" s="16">
        <v>1</v>
      </c>
      <c r="J3" s="16" t="s">
        <v>17</v>
      </c>
      <c r="K3" s="16">
        <v>83</v>
      </c>
      <c r="L3" s="16">
        <v>4981</v>
      </c>
      <c r="M3" s="16" t="s">
        <v>28</v>
      </c>
      <c r="N3" s="16" t="s">
        <v>22</v>
      </c>
      <c r="O3" s="16" t="s">
        <v>20</v>
      </c>
      <c r="P3" s="16" t="s">
        <v>21</v>
      </c>
      <c r="Q3" s="16">
        <v>3</v>
      </c>
      <c r="R3" s="16" t="s">
        <v>19</v>
      </c>
      <c r="S3" s="16" t="s">
        <v>27</v>
      </c>
      <c r="T3" s="16">
        <v>8</v>
      </c>
      <c r="U3" s="16" t="s">
        <v>17</v>
      </c>
      <c r="V3" s="4">
        <v>1</v>
      </c>
      <c r="W3" s="4">
        <v>1</v>
      </c>
      <c r="X3" s="8"/>
      <c r="Y3" s="3"/>
      <c r="Z3"/>
      <c r="AA3" s="3"/>
      <c r="AB3" s="2"/>
      <c r="AC3" s="3"/>
      <c r="AD3" s="20"/>
      <c r="AE3" s="11"/>
      <c r="AF3" s="10"/>
    </row>
    <row r="4" spans="1:32" x14ac:dyDescent="0.25">
      <c r="A4" s="15">
        <v>28</v>
      </c>
      <c r="B4" s="15" t="s">
        <v>49</v>
      </c>
      <c r="C4" s="13">
        <v>44108</v>
      </c>
      <c r="D4" s="11">
        <f t="shared" si="0"/>
        <v>44534</v>
      </c>
      <c r="E4" s="15">
        <v>86.85</v>
      </c>
      <c r="F4" s="15">
        <v>14</v>
      </c>
      <c r="G4" s="15">
        <v>220.95</v>
      </c>
      <c r="H4" s="15">
        <v>276.08999999999997</v>
      </c>
      <c r="I4" s="15">
        <v>2</v>
      </c>
      <c r="J4" s="15" t="s">
        <v>38</v>
      </c>
      <c r="K4" s="15">
        <v>70</v>
      </c>
      <c r="L4" s="15">
        <v>3561</v>
      </c>
      <c r="M4" s="15" t="s">
        <v>24</v>
      </c>
      <c r="N4" s="15" t="s">
        <v>19</v>
      </c>
      <c r="O4" s="15" t="s">
        <v>20</v>
      </c>
      <c r="P4" s="15" t="s">
        <v>21</v>
      </c>
      <c r="Q4" s="15">
        <v>1</v>
      </c>
      <c r="R4" s="15" t="s">
        <v>19</v>
      </c>
      <c r="S4" s="15" t="s">
        <v>23</v>
      </c>
      <c r="T4" s="15">
        <v>8</v>
      </c>
      <c r="U4" s="15" t="s">
        <v>38</v>
      </c>
      <c r="V4" s="4">
        <v>0</v>
      </c>
      <c r="W4" s="4">
        <v>0</v>
      </c>
      <c r="X4" s="8"/>
      <c r="Y4" s="3"/>
      <c r="Z4"/>
      <c r="AA4" s="3"/>
      <c r="AB4" s="2"/>
      <c r="AC4" s="3"/>
      <c r="AD4" s="20"/>
      <c r="AE4" s="11"/>
      <c r="AF4" s="10"/>
    </row>
    <row r="5" spans="1:32" x14ac:dyDescent="0.25">
      <c r="A5" s="16">
        <v>37</v>
      </c>
      <c r="B5" s="16" t="s">
        <v>46</v>
      </c>
      <c r="C5" s="14">
        <v>44375</v>
      </c>
      <c r="D5" s="11">
        <f t="shared" si="0"/>
        <v>44558</v>
      </c>
      <c r="E5" s="16">
        <v>25.2</v>
      </c>
      <c r="F5" s="16">
        <v>6</v>
      </c>
      <c r="G5" s="16">
        <v>25.2</v>
      </c>
      <c r="H5" s="16">
        <v>25.2</v>
      </c>
      <c r="I5" s="16">
        <v>1</v>
      </c>
      <c r="J5" s="16" t="s">
        <v>17</v>
      </c>
      <c r="K5" s="16">
        <v>67</v>
      </c>
      <c r="L5" s="16">
        <v>5688</v>
      </c>
      <c r="M5" s="16" t="s">
        <v>18</v>
      </c>
      <c r="N5" s="16" t="s">
        <v>19</v>
      </c>
      <c r="O5" s="16" t="s">
        <v>31</v>
      </c>
      <c r="P5" s="16" t="s">
        <v>21</v>
      </c>
      <c r="Q5" s="16">
        <v>2</v>
      </c>
      <c r="R5" s="16" t="s">
        <v>29</v>
      </c>
      <c r="S5" s="16" t="s">
        <v>23</v>
      </c>
      <c r="T5" s="16">
        <v>5</v>
      </c>
      <c r="U5" s="16" t="s">
        <v>38</v>
      </c>
      <c r="V5" s="4">
        <v>1</v>
      </c>
      <c r="W5" s="4">
        <v>1</v>
      </c>
      <c r="X5" s="8"/>
      <c r="Y5" s="3"/>
      <c r="Z5"/>
      <c r="AA5" s="3"/>
      <c r="AB5" s="2"/>
      <c r="AC5" s="3"/>
      <c r="AD5" s="20"/>
      <c r="AE5" s="11"/>
      <c r="AF5" s="10"/>
    </row>
    <row r="6" spans="1:32" x14ac:dyDescent="0.25">
      <c r="A6" s="15">
        <v>30</v>
      </c>
      <c r="B6" s="15" t="s">
        <v>49</v>
      </c>
      <c r="C6" s="13">
        <v>44549</v>
      </c>
      <c r="D6" s="11">
        <f t="shared" si="0"/>
        <v>44549</v>
      </c>
      <c r="E6" s="15">
        <v>88.8</v>
      </c>
      <c r="F6" s="15">
        <v>0</v>
      </c>
      <c r="G6" s="15">
        <v>88.8</v>
      </c>
      <c r="H6" s="15">
        <v>148.4</v>
      </c>
      <c r="I6" s="15">
        <v>1</v>
      </c>
      <c r="J6" s="15" t="s">
        <v>38</v>
      </c>
      <c r="K6" s="15">
        <v>91</v>
      </c>
      <c r="L6" s="15">
        <v>3106</v>
      </c>
      <c r="M6" s="15" t="s">
        <v>28</v>
      </c>
      <c r="N6" s="15" t="s">
        <v>19</v>
      </c>
      <c r="O6" s="15" t="s">
        <v>35</v>
      </c>
      <c r="P6" s="15" t="s">
        <v>21</v>
      </c>
      <c r="Q6" s="15">
        <v>2</v>
      </c>
      <c r="R6" s="15" t="s">
        <v>22</v>
      </c>
      <c r="S6" s="15" t="s">
        <v>32</v>
      </c>
      <c r="T6" s="15">
        <v>10</v>
      </c>
      <c r="U6" s="15" t="s">
        <v>17</v>
      </c>
      <c r="V6" s="4">
        <v>0</v>
      </c>
      <c r="W6" s="4">
        <v>0</v>
      </c>
      <c r="X6" s="8"/>
      <c r="Y6" s="3"/>
      <c r="Z6"/>
      <c r="AA6" s="3"/>
      <c r="AB6" s="2"/>
      <c r="AC6" s="3"/>
      <c r="AD6" s="20"/>
      <c r="AE6" s="11"/>
      <c r="AF6" s="10"/>
    </row>
    <row r="7" spans="1:32" x14ac:dyDescent="0.25">
      <c r="A7" s="16">
        <v>33</v>
      </c>
      <c r="B7" s="16" t="s">
        <v>44</v>
      </c>
      <c r="C7" s="14">
        <v>44234</v>
      </c>
      <c r="D7" s="11">
        <f t="shared" si="0"/>
        <v>44537</v>
      </c>
      <c r="E7" s="16">
        <v>74.400000000000006</v>
      </c>
      <c r="F7" s="16">
        <v>10</v>
      </c>
      <c r="G7" s="16">
        <v>1074.3</v>
      </c>
      <c r="H7" s="16">
        <v>1510.95</v>
      </c>
      <c r="I7" s="16">
        <v>1</v>
      </c>
      <c r="J7" s="16" t="s">
        <v>17</v>
      </c>
      <c r="K7" s="16">
        <v>86</v>
      </c>
      <c r="L7" s="16">
        <v>4616</v>
      </c>
      <c r="M7" s="16" t="s">
        <v>24</v>
      </c>
      <c r="N7" s="16" t="s">
        <v>22</v>
      </c>
      <c r="O7" s="16" t="s">
        <v>20</v>
      </c>
      <c r="P7" s="16" t="s">
        <v>34</v>
      </c>
      <c r="Q7" s="16">
        <v>3</v>
      </c>
      <c r="R7" s="16" t="s">
        <v>29</v>
      </c>
      <c r="S7" s="16" t="s">
        <v>27</v>
      </c>
      <c r="T7" s="16">
        <v>2</v>
      </c>
      <c r="U7" s="16" t="s">
        <v>17</v>
      </c>
      <c r="V7" s="4">
        <v>2</v>
      </c>
      <c r="W7" s="4">
        <v>1</v>
      </c>
      <c r="X7" s="8"/>
      <c r="Y7" s="3"/>
      <c r="Z7"/>
      <c r="AA7" s="3"/>
      <c r="AB7" s="2"/>
      <c r="AC7" s="3"/>
      <c r="AD7" s="20"/>
      <c r="AE7" s="11"/>
      <c r="AF7" s="10"/>
    </row>
    <row r="8" spans="1:32" x14ac:dyDescent="0.25">
      <c r="A8" s="15">
        <v>35</v>
      </c>
      <c r="B8" s="15" t="s">
        <v>45</v>
      </c>
      <c r="C8" s="13">
        <v>43883</v>
      </c>
      <c r="D8" s="11">
        <f t="shared" si="0"/>
        <v>44552</v>
      </c>
      <c r="E8" s="15">
        <v>49.15</v>
      </c>
      <c r="F8" s="15">
        <v>22</v>
      </c>
      <c r="G8" s="15">
        <v>2550.9</v>
      </c>
      <c r="H8" s="15">
        <v>2580.9</v>
      </c>
      <c r="I8" s="15">
        <v>2</v>
      </c>
      <c r="J8" s="15" t="s">
        <v>17</v>
      </c>
      <c r="K8" s="15">
        <v>90</v>
      </c>
      <c r="L8" s="15">
        <v>5597</v>
      </c>
      <c r="M8" s="15" t="s">
        <v>18</v>
      </c>
      <c r="N8" s="15" t="s">
        <v>29</v>
      </c>
      <c r="O8" s="15" t="s">
        <v>35</v>
      </c>
      <c r="P8" s="15" t="s">
        <v>21</v>
      </c>
      <c r="Q8" s="15">
        <v>4</v>
      </c>
      <c r="R8" s="15" t="s">
        <v>19</v>
      </c>
      <c r="S8" s="15" t="s">
        <v>30</v>
      </c>
      <c r="T8" s="15">
        <v>7</v>
      </c>
      <c r="U8" s="15" t="s">
        <v>17</v>
      </c>
      <c r="V8" s="4">
        <v>1</v>
      </c>
      <c r="W8" s="4">
        <v>1</v>
      </c>
      <c r="X8" s="8"/>
      <c r="Y8" s="3"/>
      <c r="Z8"/>
      <c r="AA8" s="3"/>
      <c r="AB8" s="2"/>
      <c r="AC8" s="3"/>
      <c r="AD8" s="20"/>
      <c r="AE8" s="11"/>
      <c r="AF8" s="10"/>
    </row>
    <row r="9" spans="1:32" x14ac:dyDescent="0.25">
      <c r="A9" s="16">
        <v>35</v>
      </c>
      <c r="B9" s="16" t="s">
        <v>45</v>
      </c>
      <c r="C9" s="14">
        <v>44427</v>
      </c>
      <c r="D9" s="11">
        <f t="shared" si="0"/>
        <v>44549</v>
      </c>
      <c r="E9" s="16">
        <v>74.349999999999994</v>
      </c>
      <c r="F9" s="16">
        <v>4</v>
      </c>
      <c r="G9" s="16">
        <v>334.8</v>
      </c>
      <c r="H9" s="16">
        <v>563.6</v>
      </c>
      <c r="I9" s="16">
        <v>1</v>
      </c>
      <c r="J9" s="16" t="s">
        <v>38</v>
      </c>
      <c r="K9" s="16">
        <v>82</v>
      </c>
      <c r="L9" s="16">
        <v>5273</v>
      </c>
      <c r="M9" s="16" t="s">
        <v>18</v>
      </c>
      <c r="N9" s="16" t="s">
        <v>22</v>
      </c>
      <c r="O9" s="16" t="s">
        <v>33</v>
      </c>
      <c r="P9" s="16" t="s">
        <v>21</v>
      </c>
      <c r="Q9" s="16">
        <v>1</v>
      </c>
      <c r="R9" s="16" t="s">
        <v>22</v>
      </c>
      <c r="S9" s="16" t="s">
        <v>30</v>
      </c>
      <c r="T9" s="16">
        <v>1</v>
      </c>
      <c r="U9" s="16" t="s">
        <v>17</v>
      </c>
      <c r="V9" s="4">
        <v>1</v>
      </c>
      <c r="W9" s="4">
        <v>0</v>
      </c>
      <c r="X9" s="8"/>
      <c r="Y9" s="3"/>
      <c r="Z9"/>
      <c r="AA9" s="3"/>
      <c r="AB9" s="2"/>
      <c r="AC9" s="3"/>
      <c r="AD9" s="20"/>
      <c r="AE9" s="11"/>
      <c r="AF9" s="10"/>
    </row>
    <row r="10" spans="1:32" x14ac:dyDescent="0.25">
      <c r="A10" s="15">
        <v>26</v>
      </c>
      <c r="B10" s="15" t="s">
        <v>46</v>
      </c>
      <c r="C10" s="13">
        <v>43994</v>
      </c>
      <c r="D10" s="11">
        <f t="shared" si="0"/>
        <v>44542</v>
      </c>
      <c r="E10" s="15">
        <v>30.35</v>
      </c>
      <c r="F10" s="15">
        <v>18</v>
      </c>
      <c r="G10" s="15">
        <v>1359.7</v>
      </c>
      <c r="H10" s="15">
        <v>1359.7</v>
      </c>
      <c r="I10" s="15">
        <v>1</v>
      </c>
      <c r="J10" s="15" t="s">
        <v>17</v>
      </c>
      <c r="K10" s="15">
        <v>96</v>
      </c>
      <c r="L10" s="15">
        <v>4829</v>
      </c>
      <c r="M10" s="15" t="s">
        <v>18</v>
      </c>
      <c r="N10" s="15" t="s">
        <v>19</v>
      </c>
      <c r="O10" s="15" t="s">
        <v>20</v>
      </c>
      <c r="P10" s="15" t="s">
        <v>21</v>
      </c>
      <c r="Q10" s="15">
        <v>2</v>
      </c>
      <c r="R10" s="15" t="s">
        <v>22</v>
      </c>
      <c r="S10" s="15" t="s">
        <v>30</v>
      </c>
      <c r="T10" s="15">
        <v>1</v>
      </c>
      <c r="U10" s="15" t="s">
        <v>17</v>
      </c>
      <c r="V10" s="4">
        <v>2</v>
      </c>
      <c r="W10" s="4">
        <v>1</v>
      </c>
      <c r="X10" s="8"/>
      <c r="Y10" s="3"/>
      <c r="Z10"/>
      <c r="AA10" s="3"/>
      <c r="AB10" s="2"/>
      <c r="AC10" s="3"/>
      <c r="AD10" s="20"/>
      <c r="AE10" s="11"/>
      <c r="AF10" s="10"/>
    </row>
    <row r="11" spans="1:32" x14ac:dyDescent="0.25">
      <c r="A11" s="16">
        <v>37</v>
      </c>
      <c r="B11" s="16" t="s">
        <v>52</v>
      </c>
      <c r="C11" s="14">
        <v>44243</v>
      </c>
      <c r="D11" s="11">
        <f t="shared" si="0"/>
        <v>44546</v>
      </c>
      <c r="E11" s="16">
        <v>25.8</v>
      </c>
      <c r="F11" s="16">
        <v>10</v>
      </c>
      <c r="G11" s="16">
        <v>25.8</v>
      </c>
      <c r="H11" s="16">
        <v>45.8</v>
      </c>
      <c r="I11" s="16">
        <v>1</v>
      </c>
      <c r="J11" s="16" t="s">
        <v>38</v>
      </c>
      <c r="K11" s="16">
        <v>90</v>
      </c>
      <c r="L11" s="16">
        <v>3884</v>
      </c>
      <c r="M11" s="16" t="s">
        <v>28</v>
      </c>
      <c r="N11" s="16" t="s">
        <v>29</v>
      </c>
      <c r="O11" s="16" t="s">
        <v>31</v>
      </c>
      <c r="P11" s="16" t="s">
        <v>34</v>
      </c>
      <c r="Q11" s="16">
        <v>1</v>
      </c>
      <c r="R11" s="16" t="s">
        <v>19</v>
      </c>
      <c r="S11" s="16" t="s">
        <v>30</v>
      </c>
      <c r="T11" s="16">
        <v>6</v>
      </c>
      <c r="U11" s="16" t="s">
        <v>17</v>
      </c>
      <c r="V11" s="4">
        <v>2</v>
      </c>
      <c r="W11" s="4">
        <v>0</v>
      </c>
      <c r="X11" s="8"/>
      <c r="Y11" s="3"/>
      <c r="Z11"/>
      <c r="AA11" s="3"/>
      <c r="AB11" s="2"/>
      <c r="AC11" s="3"/>
      <c r="AD11" s="20"/>
      <c r="AE11" s="11"/>
      <c r="AF11" s="10"/>
    </row>
    <row r="12" spans="1:32" x14ac:dyDescent="0.25">
      <c r="A12" s="15">
        <v>25</v>
      </c>
      <c r="B12" s="15" t="s">
        <v>51</v>
      </c>
      <c r="C12" s="13">
        <v>44262</v>
      </c>
      <c r="D12" s="11">
        <f t="shared" si="0"/>
        <v>44537</v>
      </c>
      <c r="E12" s="15">
        <v>110</v>
      </c>
      <c r="F12" s="15">
        <v>9</v>
      </c>
      <c r="G12" s="15">
        <v>4874.8</v>
      </c>
      <c r="H12" s="15">
        <v>4983.8200000000006</v>
      </c>
      <c r="I12" s="15">
        <v>1</v>
      </c>
      <c r="J12" s="15" t="s">
        <v>17</v>
      </c>
      <c r="K12" s="15">
        <v>81</v>
      </c>
      <c r="L12" s="15">
        <v>2403</v>
      </c>
      <c r="M12" s="15" t="s">
        <v>28</v>
      </c>
      <c r="N12" s="15" t="s">
        <v>22</v>
      </c>
      <c r="O12" s="15" t="s">
        <v>33</v>
      </c>
      <c r="P12" s="15" t="s">
        <v>21</v>
      </c>
      <c r="Q12" s="15">
        <v>3</v>
      </c>
      <c r="R12" s="15" t="s">
        <v>22</v>
      </c>
      <c r="S12" s="15" t="s">
        <v>27</v>
      </c>
      <c r="T12" s="15">
        <v>8</v>
      </c>
      <c r="U12" s="15" t="s">
        <v>17</v>
      </c>
      <c r="V12" s="4">
        <v>0</v>
      </c>
      <c r="W12" s="4">
        <v>1</v>
      </c>
      <c r="X12" s="8"/>
      <c r="Y12" s="3"/>
      <c r="Z12"/>
      <c r="AA12" s="3"/>
      <c r="AB12" s="2"/>
      <c r="AC12" s="3"/>
      <c r="AD12" s="20"/>
      <c r="AE12" s="11"/>
      <c r="AF12" s="10"/>
    </row>
    <row r="13" spans="1:32" x14ac:dyDescent="0.25">
      <c r="A13" s="16">
        <v>37</v>
      </c>
      <c r="B13" s="16" t="s">
        <v>49</v>
      </c>
      <c r="C13" s="14">
        <v>44508</v>
      </c>
      <c r="D13" s="11">
        <f t="shared" si="0"/>
        <v>44538</v>
      </c>
      <c r="E13" s="16">
        <v>69.95</v>
      </c>
      <c r="F13" s="16">
        <v>1</v>
      </c>
      <c r="G13" s="16">
        <v>69.95</v>
      </c>
      <c r="H13" s="16">
        <v>102.45</v>
      </c>
      <c r="I13" s="16">
        <v>2</v>
      </c>
      <c r="J13" s="16" t="s">
        <v>38</v>
      </c>
      <c r="K13" s="16">
        <v>94</v>
      </c>
      <c r="L13" s="16">
        <v>3208</v>
      </c>
      <c r="M13" s="16" t="s">
        <v>18</v>
      </c>
      <c r="N13" s="16" t="s">
        <v>19</v>
      </c>
      <c r="O13" s="16" t="s">
        <v>25</v>
      </c>
      <c r="P13" s="16" t="s">
        <v>21</v>
      </c>
      <c r="Q13" s="16">
        <v>3</v>
      </c>
      <c r="R13" s="16" t="s">
        <v>19</v>
      </c>
      <c r="S13" s="16" t="s">
        <v>23</v>
      </c>
      <c r="T13" s="16">
        <v>5</v>
      </c>
      <c r="U13" s="16" t="s">
        <v>17</v>
      </c>
      <c r="V13" s="4">
        <v>0</v>
      </c>
      <c r="W13" s="4">
        <v>0</v>
      </c>
      <c r="X13" s="8"/>
      <c r="Y13" s="3"/>
      <c r="Z13"/>
      <c r="AA13" s="3"/>
      <c r="AB13" s="2"/>
      <c r="AC13" s="3"/>
      <c r="AD13" s="20"/>
      <c r="AE13" s="11"/>
      <c r="AF13" s="10"/>
    </row>
    <row r="14" spans="1:32" x14ac:dyDescent="0.25">
      <c r="A14" s="15">
        <v>38</v>
      </c>
      <c r="B14" s="15" t="s">
        <v>53</v>
      </c>
      <c r="C14" s="13">
        <v>44027</v>
      </c>
      <c r="D14" s="11">
        <f t="shared" si="0"/>
        <v>44545</v>
      </c>
      <c r="E14" s="15">
        <v>94.1</v>
      </c>
      <c r="F14" s="15">
        <v>17</v>
      </c>
      <c r="G14" s="15">
        <v>1782.4</v>
      </c>
      <c r="H14" s="15">
        <v>2837</v>
      </c>
      <c r="I14" s="15">
        <v>1</v>
      </c>
      <c r="J14" s="15" t="s">
        <v>17</v>
      </c>
      <c r="K14" s="15">
        <v>87</v>
      </c>
      <c r="L14" s="15">
        <v>2666</v>
      </c>
      <c r="M14" s="15" t="s">
        <v>28</v>
      </c>
      <c r="N14" s="15" t="s">
        <v>22</v>
      </c>
      <c r="O14" s="15" t="s">
        <v>20</v>
      </c>
      <c r="P14" s="15" t="s">
        <v>21</v>
      </c>
      <c r="Q14" s="15">
        <v>4</v>
      </c>
      <c r="R14" s="15" t="s">
        <v>29</v>
      </c>
      <c r="S14" s="15" t="s">
        <v>30</v>
      </c>
      <c r="T14" s="15">
        <v>7</v>
      </c>
      <c r="U14" s="15" t="s">
        <v>17</v>
      </c>
      <c r="V14" s="4">
        <v>0</v>
      </c>
      <c r="W14" s="4">
        <v>1</v>
      </c>
      <c r="X14" s="8"/>
      <c r="Y14" s="3"/>
      <c r="Z14"/>
      <c r="AA14" s="3"/>
      <c r="AB14" s="2"/>
      <c r="AC14" s="3"/>
      <c r="AD14" s="20"/>
      <c r="AE14" s="11"/>
      <c r="AF14" s="10"/>
    </row>
    <row r="15" spans="1:32" x14ac:dyDescent="0.25">
      <c r="A15" s="16">
        <v>32</v>
      </c>
      <c r="B15" s="16" t="s">
        <v>51</v>
      </c>
      <c r="C15" s="14">
        <v>44427</v>
      </c>
      <c r="D15" s="11">
        <f t="shared" si="0"/>
        <v>44549</v>
      </c>
      <c r="E15" s="16">
        <v>110.75</v>
      </c>
      <c r="F15" s="16">
        <v>4</v>
      </c>
      <c r="G15" s="16">
        <v>4687.8999999999996</v>
      </c>
      <c r="H15" s="16">
        <v>5312.2599999999993</v>
      </c>
      <c r="I15" s="16">
        <v>2</v>
      </c>
      <c r="J15" s="16" t="s">
        <v>17</v>
      </c>
      <c r="K15" s="16">
        <v>65</v>
      </c>
      <c r="L15" s="16">
        <v>2728</v>
      </c>
      <c r="M15" s="16" t="s">
        <v>18</v>
      </c>
      <c r="N15" s="16" t="s">
        <v>29</v>
      </c>
      <c r="O15" s="16" t="s">
        <v>25</v>
      </c>
      <c r="P15" s="16" t="s">
        <v>21</v>
      </c>
      <c r="Q15" s="16">
        <v>5</v>
      </c>
      <c r="R15" s="16" t="s">
        <v>19</v>
      </c>
      <c r="S15" s="16" t="s">
        <v>27</v>
      </c>
      <c r="T15" s="16">
        <v>6</v>
      </c>
      <c r="U15" s="16" t="s">
        <v>38</v>
      </c>
      <c r="V15" s="4">
        <v>0</v>
      </c>
      <c r="W15" s="4">
        <v>1</v>
      </c>
      <c r="X15" s="8"/>
      <c r="Y15" s="3"/>
      <c r="Z15"/>
      <c r="AA15" s="3"/>
      <c r="AB15" s="2"/>
      <c r="AC15" s="3"/>
      <c r="AD15" s="20"/>
      <c r="AE15" s="11"/>
      <c r="AF15" s="10"/>
    </row>
    <row r="16" spans="1:32" x14ac:dyDescent="0.25">
      <c r="A16" s="15">
        <v>36</v>
      </c>
      <c r="B16" s="15" t="s">
        <v>45</v>
      </c>
      <c r="C16" s="13">
        <v>44143</v>
      </c>
      <c r="D16" s="11">
        <f t="shared" si="0"/>
        <v>44538</v>
      </c>
      <c r="E16" s="15">
        <v>81</v>
      </c>
      <c r="F16" s="15">
        <v>13</v>
      </c>
      <c r="G16" s="15">
        <v>371.65</v>
      </c>
      <c r="H16" s="15">
        <v>577.41</v>
      </c>
      <c r="I16" s="15">
        <v>1</v>
      </c>
      <c r="J16" s="15" t="s">
        <v>17</v>
      </c>
      <c r="K16" s="15">
        <v>91</v>
      </c>
      <c r="L16" s="15">
        <v>4287</v>
      </c>
      <c r="M16" s="15" t="s">
        <v>26</v>
      </c>
      <c r="N16" s="15" t="s">
        <v>19</v>
      </c>
      <c r="O16" s="15" t="s">
        <v>33</v>
      </c>
      <c r="P16" s="15" t="s">
        <v>21</v>
      </c>
      <c r="Q16" s="15">
        <v>3</v>
      </c>
      <c r="R16" s="15" t="s">
        <v>19</v>
      </c>
      <c r="S16" s="15" t="s">
        <v>30</v>
      </c>
      <c r="T16" s="15">
        <v>3</v>
      </c>
      <c r="U16" s="15" t="s">
        <v>17</v>
      </c>
      <c r="V16" s="4">
        <v>2</v>
      </c>
      <c r="W16" s="4">
        <v>1</v>
      </c>
      <c r="X16" s="8"/>
      <c r="Y16" s="3"/>
      <c r="Z16"/>
      <c r="AA16" s="3"/>
      <c r="AB16" s="2"/>
      <c r="AC16" s="3"/>
      <c r="AD16" s="20"/>
      <c r="AE16" s="11"/>
      <c r="AF16" s="10"/>
    </row>
    <row r="17" spans="1:37" x14ac:dyDescent="0.25">
      <c r="A17" s="16">
        <v>35</v>
      </c>
      <c r="B17" s="16" t="s">
        <v>48</v>
      </c>
      <c r="C17" s="14">
        <v>44086</v>
      </c>
      <c r="D17" s="11">
        <f t="shared" si="0"/>
        <v>44542</v>
      </c>
      <c r="E17" s="16">
        <v>79.400000000000006</v>
      </c>
      <c r="F17" s="16">
        <v>15</v>
      </c>
      <c r="G17" s="16">
        <v>205.05</v>
      </c>
      <c r="H17" s="16">
        <v>330.75</v>
      </c>
      <c r="I17" s="16">
        <v>1</v>
      </c>
      <c r="J17" s="16" t="s">
        <v>38</v>
      </c>
      <c r="K17" s="16">
        <v>91</v>
      </c>
      <c r="L17" s="16">
        <v>3501</v>
      </c>
      <c r="M17" s="16" t="s">
        <v>24</v>
      </c>
      <c r="N17" s="16" t="s">
        <v>19</v>
      </c>
      <c r="O17" s="16" t="s">
        <v>25</v>
      </c>
      <c r="P17" s="16" t="s">
        <v>21</v>
      </c>
      <c r="Q17" s="16">
        <v>3</v>
      </c>
      <c r="R17" s="16" t="s">
        <v>19</v>
      </c>
      <c r="S17" s="16" t="s">
        <v>32</v>
      </c>
      <c r="T17" s="16">
        <v>1</v>
      </c>
      <c r="U17" s="16" t="s">
        <v>17</v>
      </c>
      <c r="V17" s="4">
        <v>0</v>
      </c>
      <c r="W17" s="4">
        <v>0</v>
      </c>
      <c r="X17" s="8"/>
      <c r="Y17" s="3"/>
      <c r="Z17"/>
      <c r="AA17" s="3"/>
      <c r="AB17" s="2"/>
      <c r="AC17" s="3"/>
      <c r="AD17" s="20"/>
      <c r="AE17" s="11"/>
      <c r="AF17" s="10"/>
      <c r="AG17" s="3"/>
      <c r="AH17" s="3"/>
      <c r="AI17" s="3"/>
      <c r="AJ17" s="3"/>
      <c r="AK17" s="3"/>
    </row>
    <row r="18" spans="1:37" x14ac:dyDescent="0.25">
      <c r="A18" s="15">
        <v>28</v>
      </c>
      <c r="B18" s="15" t="s">
        <v>52</v>
      </c>
      <c r="C18" s="13">
        <v>44268</v>
      </c>
      <c r="D18" s="11">
        <f t="shared" si="0"/>
        <v>44543</v>
      </c>
      <c r="E18" s="15">
        <v>84.75</v>
      </c>
      <c r="F18" s="15">
        <v>9</v>
      </c>
      <c r="G18" s="15">
        <v>1350.15</v>
      </c>
      <c r="H18" s="15">
        <v>1630.31</v>
      </c>
      <c r="I18" s="15">
        <v>2</v>
      </c>
      <c r="J18" s="15" t="s">
        <v>38</v>
      </c>
      <c r="K18" s="15">
        <v>91</v>
      </c>
      <c r="L18" s="15">
        <v>5136</v>
      </c>
      <c r="M18" s="15" t="s">
        <v>18</v>
      </c>
      <c r="N18" s="15" t="s">
        <v>19</v>
      </c>
      <c r="O18" s="15" t="s">
        <v>25</v>
      </c>
      <c r="P18" s="15" t="s">
        <v>21</v>
      </c>
      <c r="Q18" s="15">
        <v>2</v>
      </c>
      <c r="R18" s="15" t="s">
        <v>19</v>
      </c>
      <c r="S18" s="15" t="s">
        <v>23</v>
      </c>
      <c r="T18" s="15">
        <v>2</v>
      </c>
      <c r="U18" s="15" t="s">
        <v>17</v>
      </c>
      <c r="V18" s="4">
        <v>1</v>
      </c>
      <c r="W18" s="4">
        <v>0</v>
      </c>
      <c r="X18" s="8"/>
      <c r="Y18" s="3"/>
      <c r="Z18"/>
      <c r="AA18" s="3"/>
      <c r="AB18" s="2"/>
      <c r="AC18" s="3"/>
      <c r="AD18" s="20"/>
      <c r="AE18" s="11"/>
      <c r="AF18" s="10"/>
    </row>
    <row r="19" spans="1:37" x14ac:dyDescent="0.25">
      <c r="A19" s="16">
        <v>38</v>
      </c>
      <c r="B19" s="16" t="s">
        <v>48</v>
      </c>
      <c r="C19" s="14">
        <v>44505</v>
      </c>
      <c r="D19" s="11">
        <f t="shared" si="0"/>
        <v>44535</v>
      </c>
      <c r="E19" s="16">
        <v>74.400000000000006</v>
      </c>
      <c r="F19" s="16">
        <v>1</v>
      </c>
      <c r="G19" s="16">
        <v>527.9</v>
      </c>
      <c r="H19" s="16">
        <v>557.88</v>
      </c>
      <c r="I19" s="16">
        <v>3</v>
      </c>
      <c r="J19" s="16" t="s">
        <v>38</v>
      </c>
      <c r="K19" s="16">
        <v>96</v>
      </c>
      <c r="L19" s="16">
        <v>4969</v>
      </c>
      <c r="M19" s="16" t="s">
        <v>18</v>
      </c>
      <c r="N19" s="16" t="s">
        <v>22</v>
      </c>
      <c r="O19" s="16" t="s">
        <v>35</v>
      </c>
      <c r="P19" s="16" t="s">
        <v>34</v>
      </c>
      <c r="Q19" s="16">
        <v>3</v>
      </c>
      <c r="R19" s="16" t="s">
        <v>19</v>
      </c>
      <c r="S19" s="16" t="s">
        <v>27</v>
      </c>
      <c r="T19" s="16">
        <v>8</v>
      </c>
      <c r="U19" s="16" t="s">
        <v>38</v>
      </c>
      <c r="V19" s="4">
        <v>1</v>
      </c>
      <c r="W19" s="4">
        <v>0</v>
      </c>
      <c r="X19" s="8"/>
      <c r="Y19" s="3"/>
      <c r="Z19"/>
      <c r="AA19" s="3"/>
      <c r="AB19" s="2"/>
      <c r="AC19" s="3"/>
      <c r="AD19" s="20"/>
      <c r="AE19" s="11"/>
      <c r="AF19" s="10"/>
    </row>
    <row r="20" spans="1:37" x14ac:dyDescent="0.25">
      <c r="A20" s="15">
        <v>25</v>
      </c>
      <c r="B20" s="15" t="s">
        <v>44</v>
      </c>
      <c r="C20" s="13">
        <v>44430</v>
      </c>
      <c r="D20" s="11">
        <f t="shared" si="0"/>
        <v>44552</v>
      </c>
      <c r="E20" s="15">
        <v>84.6</v>
      </c>
      <c r="F20" s="15">
        <v>4</v>
      </c>
      <c r="G20" s="15">
        <v>360.1</v>
      </c>
      <c r="H20" s="15">
        <v>386.82000000000011</v>
      </c>
      <c r="I20" s="15">
        <v>1</v>
      </c>
      <c r="J20" s="15" t="s">
        <v>38</v>
      </c>
      <c r="K20" s="15">
        <v>83</v>
      </c>
      <c r="L20" s="15">
        <v>2467</v>
      </c>
      <c r="M20" s="15" t="s">
        <v>18</v>
      </c>
      <c r="N20" s="15" t="s">
        <v>19</v>
      </c>
      <c r="O20" s="15" t="s">
        <v>31</v>
      </c>
      <c r="P20" s="15" t="s">
        <v>21</v>
      </c>
      <c r="Q20" s="15">
        <v>1</v>
      </c>
      <c r="R20" s="15" t="s">
        <v>29</v>
      </c>
      <c r="S20" s="15" t="s">
        <v>23</v>
      </c>
      <c r="T20" s="15">
        <v>2</v>
      </c>
      <c r="U20" s="15" t="s">
        <v>17</v>
      </c>
      <c r="V20" s="4">
        <v>0</v>
      </c>
      <c r="W20" s="4">
        <v>0</v>
      </c>
      <c r="X20" s="8"/>
      <c r="Y20" s="3"/>
      <c r="Z20"/>
      <c r="AA20" s="3"/>
      <c r="AB20" s="2"/>
      <c r="AC20" s="3"/>
      <c r="AD20" s="20"/>
      <c r="AE20" s="11"/>
      <c r="AF20" s="10"/>
    </row>
    <row r="21" spans="1:37" x14ac:dyDescent="0.25">
      <c r="A21" s="16">
        <v>32</v>
      </c>
      <c r="B21" s="16" t="s">
        <v>50</v>
      </c>
      <c r="C21" s="14">
        <v>44124</v>
      </c>
      <c r="D21" s="11">
        <f t="shared" si="0"/>
        <v>44550</v>
      </c>
      <c r="E21" s="16">
        <v>19.649999999999999</v>
      </c>
      <c r="F21" s="16">
        <v>14</v>
      </c>
      <c r="G21" s="16">
        <v>164.3</v>
      </c>
      <c r="H21" s="16">
        <v>387.9</v>
      </c>
      <c r="I21" s="16">
        <v>2</v>
      </c>
      <c r="J21" s="16" t="s">
        <v>17</v>
      </c>
      <c r="K21" s="16">
        <v>83</v>
      </c>
      <c r="L21" s="16">
        <v>5432</v>
      </c>
      <c r="M21" s="16" t="s">
        <v>18</v>
      </c>
      <c r="N21" s="16" t="s">
        <v>19</v>
      </c>
      <c r="O21" s="16" t="s">
        <v>33</v>
      </c>
      <c r="P21" s="16" t="s">
        <v>21</v>
      </c>
      <c r="Q21" s="16">
        <v>3</v>
      </c>
      <c r="R21" s="16" t="s">
        <v>22</v>
      </c>
      <c r="S21" s="16" t="s">
        <v>27</v>
      </c>
      <c r="T21" s="16">
        <v>1</v>
      </c>
      <c r="U21" s="16" t="s">
        <v>17</v>
      </c>
      <c r="V21" s="4">
        <v>1</v>
      </c>
      <c r="W21" s="4">
        <v>1</v>
      </c>
      <c r="X21" s="8"/>
      <c r="Y21" s="3"/>
      <c r="Z21"/>
      <c r="AA21" s="3"/>
      <c r="AB21" s="2"/>
      <c r="AC21" s="3"/>
      <c r="AD21" s="20"/>
      <c r="AE21" s="11"/>
      <c r="AF21" s="10"/>
    </row>
    <row r="22" spans="1:37" x14ac:dyDescent="0.25">
      <c r="A22" s="15">
        <v>24</v>
      </c>
      <c r="B22" s="15" t="s">
        <v>45</v>
      </c>
      <c r="C22" s="13">
        <v>44090</v>
      </c>
      <c r="D22" s="11">
        <f t="shared" si="0"/>
        <v>44546</v>
      </c>
      <c r="E22" s="15">
        <v>76.45</v>
      </c>
      <c r="F22" s="15">
        <v>15</v>
      </c>
      <c r="G22" s="15">
        <v>1233.4000000000001</v>
      </c>
      <c r="H22" s="15">
        <v>1251.25</v>
      </c>
      <c r="I22" s="15">
        <v>1</v>
      </c>
      <c r="J22" s="15" t="s">
        <v>17</v>
      </c>
      <c r="K22" s="15">
        <v>92</v>
      </c>
      <c r="L22" s="15">
        <v>3266</v>
      </c>
      <c r="M22" s="15" t="s">
        <v>24</v>
      </c>
      <c r="N22" s="15" t="s">
        <v>29</v>
      </c>
      <c r="O22" s="15" t="s">
        <v>25</v>
      </c>
      <c r="P22" s="15" t="s">
        <v>34</v>
      </c>
      <c r="Q22" s="15">
        <v>1</v>
      </c>
      <c r="R22" s="15" t="s">
        <v>22</v>
      </c>
      <c r="S22" s="15" t="s">
        <v>23</v>
      </c>
      <c r="T22" s="15">
        <v>9</v>
      </c>
      <c r="U22" s="15" t="s">
        <v>17</v>
      </c>
      <c r="V22" s="4">
        <v>0</v>
      </c>
      <c r="W22" s="4">
        <v>1</v>
      </c>
      <c r="X22" s="8"/>
      <c r="Y22" s="3"/>
      <c r="Z22"/>
      <c r="AA22" s="3"/>
      <c r="AB22" s="2"/>
      <c r="AC22" s="3"/>
      <c r="AD22" s="20"/>
      <c r="AE22" s="11"/>
      <c r="AF22" s="10"/>
    </row>
    <row r="23" spans="1:37" x14ac:dyDescent="0.25">
      <c r="A23" s="16">
        <v>21</v>
      </c>
      <c r="B23" s="16" t="s">
        <v>46</v>
      </c>
      <c r="C23" s="14">
        <v>44126</v>
      </c>
      <c r="D23" s="11">
        <f t="shared" si="0"/>
        <v>44552</v>
      </c>
      <c r="E23" s="16">
        <v>106.9</v>
      </c>
      <c r="F23" s="16">
        <v>14</v>
      </c>
      <c r="G23" s="16">
        <v>1364.3</v>
      </c>
      <c r="H23" s="16">
        <v>1799.14</v>
      </c>
      <c r="I23" s="16">
        <v>1</v>
      </c>
      <c r="J23" s="16" t="s">
        <v>38</v>
      </c>
      <c r="K23" s="16">
        <v>84</v>
      </c>
      <c r="L23" s="16">
        <v>2494</v>
      </c>
      <c r="M23" s="16" t="s">
        <v>18</v>
      </c>
      <c r="N23" s="16" t="s">
        <v>29</v>
      </c>
      <c r="O23" s="16" t="s">
        <v>31</v>
      </c>
      <c r="P23" s="16" t="s">
        <v>21</v>
      </c>
      <c r="Q23" s="16">
        <v>1</v>
      </c>
      <c r="R23" s="16" t="s">
        <v>29</v>
      </c>
      <c r="S23" s="16" t="s">
        <v>23</v>
      </c>
      <c r="T23" s="16">
        <v>3</v>
      </c>
      <c r="U23" s="16" t="s">
        <v>17</v>
      </c>
      <c r="V23" s="4">
        <v>0</v>
      </c>
      <c r="W23" s="4">
        <v>0</v>
      </c>
      <c r="X23" s="8"/>
      <c r="Y23" s="3"/>
      <c r="Z23"/>
      <c r="AA23" s="3"/>
      <c r="AB23" s="2"/>
      <c r="AC23" s="3"/>
      <c r="AD23" s="20"/>
      <c r="AE23" s="11"/>
      <c r="AF23" s="10"/>
    </row>
    <row r="24" spans="1:37" x14ac:dyDescent="0.25">
      <c r="A24" s="15">
        <v>38</v>
      </c>
      <c r="B24" s="15" t="s">
        <v>44</v>
      </c>
      <c r="C24" s="13">
        <v>44449</v>
      </c>
      <c r="D24" s="11">
        <f t="shared" si="0"/>
        <v>44540</v>
      </c>
      <c r="E24" s="15">
        <v>44.85</v>
      </c>
      <c r="F24" s="15">
        <v>3</v>
      </c>
      <c r="G24" s="15">
        <v>2572.9499999999998</v>
      </c>
      <c r="H24" s="15">
        <v>2560.88</v>
      </c>
      <c r="I24" s="15">
        <v>2</v>
      </c>
      <c r="J24" s="15" t="s">
        <v>17</v>
      </c>
      <c r="K24" s="15">
        <v>82</v>
      </c>
      <c r="L24" s="15">
        <v>5172</v>
      </c>
      <c r="M24" s="15" t="s">
        <v>28</v>
      </c>
      <c r="N24" s="15" t="s">
        <v>22</v>
      </c>
      <c r="O24" s="15" t="s">
        <v>35</v>
      </c>
      <c r="P24" s="15" t="s">
        <v>21</v>
      </c>
      <c r="Q24" s="15">
        <v>4</v>
      </c>
      <c r="R24" s="15" t="s">
        <v>22</v>
      </c>
      <c r="S24" s="15" t="s">
        <v>23</v>
      </c>
      <c r="T24" s="15">
        <v>10</v>
      </c>
      <c r="U24" s="15" t="s">
        <v>17</v>
      </c>
      <c r="V24" s="4">
        <v>1</v>
      </c>
      <c r="W24" s="4">
        <v>1</v>
      </c>
      <c r="X24" s="8"/>
      <c r="Y24" s="3"/>
      <c r="Z24"/>
      <c r="AA24" s="3"/>
      <c r="AB24" s="2"/>
      <c r="AC24" s="3"/>
      <c r="AD24" s="20"/>
      <c r="AE24" s="11"/>
      <c r="AF24" s="10"/>
    </row>
    <row r="25" spans="1:37" x14ac:dyDescent="0.25">
      <c r="A25" s="16">
        <v>38</v>
      </c>
      <c r="B25" s="16" t="s">
        <v>52</v>
      </c>
      <c r="C25" s="14">
        <v>44180</v>
      </c>
      <c r="D25" s="11">
        <f t="shared" si="0"/>
        <v>44545</v>
      </c>
      <c r="E25" s="16">
        <v>75.650000000000006</v>
      </c>
      <c r="F25" s="16">
        <v>12</v>
      </c>
      <c r="G25" s="16">
        <v>1146.6500000000001</v>
      </c>
      <c r="H25" s="16">
        <v>1842.35</v>
      </c>
      <c r="I25" s="16">
        <v>3</v>
      </c>
      <c r="J25" s="16" t="s">
        <v>17</v>
      </c>
      <c r="K25" s="16">
        <v>96</v>
      </c>
      <c r="L25" s="16">
        <v>2099</v>
      </c>
      <c r="M25" s="16" t="s">
        <v>26</v>
      </c>
      <c r="N25" s="16" t="s">
        <v>29</v>
      </c>
      <c r="O25" s="16" t="s">
        <v>33</v>
      </c>
      <c r="P25" s="16" t="s">
        <v>21</v>
      </c>
      <c r="Q25" s="16">
        <v>5</v>
      </c>
      <c r="R25" s="16" t="s">
        <v>19</v>
      </c>
      <c r="S25" s="16" t="s">
        <v>27</v>
      </c>
      <c r="T25" s="16">
        <v>4</v>
      </c>
      <c r="U25" s="16" t="s">
        <v>38</v>
      </c>
      <c r="V25" s="4">
        <v>0</v>
      </c>
      <c r="W25" s="4">
        <v>1</v>
      </c>
      <c r="X25" s="8"/>
      <c r="Y25" s="3"/>
      <c r="Z25"/>
      <c r="AA25" s="3"/>
      <c r="AB25" s="2"/>
      <c r="AC25" s="3"/>
      <c r="AD25" s="20"/>
      <c r="AE25" s="11"/>
      <c r="AF25" s="10"/>
    </row>
    <row r="26" spans="1:37" x14ac:dyDescent="0.25">
      <c r="A26" s="15">
        <v>31</v>
      </c>
      <c r="B26" s="15" t="s">
        <v>46</v>
      </c>
      <c r="C26" s="13">
        <v>44266</v>
      </c>
      <c r="D26" s="11">
        <f t="shared" si="0"/>
        <v>44541</v>
      </c>
      <c r="E26" s="15">
        <v>41.9</v>
      </c>
      <c r="F26" s="15">
        <v>9</v>
      </c>
      <c r="G26" s="15">
        <v>840.1</v>
      </c>
      <c r="H26" s="15">
        <v>840.1</v>
      </c>
      <c r="I26" s="15">
        <v>1</v>
      </c>
      <c r="J26" s="15" t="s">
        <v>17</v>
      </c>
      <c r="K26" s="15">
        <v>90</v>
      </c>
      <c r="L26" s="15">
        <v>4778</v>
      </c>
      <c r="M26" s="15" t="s">
        <v>18</v>
      </c>
      <c r="N26" s="15" t="s">
        <v>22</v>
      </c>
      <c r="O26" s="15" t="s">
        <v>35</v>
      </c>
      <c r="P26" s="15" t="s">
        <v>21</v>
      </c>
      <c r="Q26" s="15">
        <v>4</v>
      </c>
      <c r="R26" s="15" t="s">
        <v>19</v>
      </c>
      <c r="S26" s="15" t="s">
        <v>32</v>
      </c>
      <c r="T26" s="15">
        <v>1</v>
      </c>
      <c r="U26" s="15" t="s">
        <v>17</v>
      </c>
      <c r="V26" s="4">
        <v>2</v>
      </c>
      <c r="W26" s="4">
        <v>1</v>
      </c>
      <c r="X26" s="8"/>
      <c r="Y26" s="3"/>
      <c r="Z26"/>
      <c r="AA26" s="3"/>
      <c r="AB26" s="2"/>
      <c r="AC26" s="3"/>
      <c r="AD26" s="20"/>
      <c r="AE26" s="11"/>
      <c r="AF26" s="10"/>
    </row>
    <row r="27" spans="1:37" x14ac:dyDescent="0.25">
      <c r="A27" s="16">
        <v>25</v>
      </c>
      <c r="B27" s="16" t="s">
        <v>45</v>
      </c>
      <c r="C27" s="14">
        <v>43899</v>
      </c>
      <c r="D27" s="11">
        <f t="shared" si="0"/>
        <v>44539</v>
      </c>
      <c r="E27" s="16">
        <v>85.45</v>
      </c>
      <c r="F27" s="16">
        <v>21</v>
      </c>
      <c r="G27" s="16">
        <v>4874.7</v>
      </c>
      <c r="H27" s="16">
        <v>7319.7999999999993</v>
      </c>
      <c r="I27" s="16">
        <v>1</v>
      </c>
      <c r="J27" s="16" t="s">
        <v>38</v>
      </c>
      <c r="K27" s="16">
        <v>91</v>
      </c>
      <c r="L27" s="16">
        <v>5502</v>
      </c>
      <c r="M27" s="16" t="s">
        <v>18</v>
      </c>
      <c r="N27" s="16" t="s">
        <v>22</v>
      </c>
      <c r="O27" s="16" t="s">
        <v>20</v>
      </c>
      <c r="P27" s="16" t="s">
        <v>21</v>
      </c>
      <c r="Q27" s="16">
        <v>2</v>
      </c>
      <c r="R27" s="16" t="s">
        <v>19</v>
      </c>
      <c r="S27" s="16" t="s">
        <v>23</v>
      </c>
      <c r="T27" s="16">
        <v>10</v>
      </c>
      <c r="U27" s="16" t="s">
        <v>17</v>
      </c>
      <c r="V27" s="4">
        <v>1</v>
      </c>
      <c r="W27" s="4">
        <v>0</v>
      </c>
      <c r="X27" s="8"/>
      <c r="Y27" s="3"/>
      <c r="Z27"/>
      <c r="AA27" s="3"/>
      <c r="AB27" s="2"/>
      <c r="AC27" s="3"/>
      <c r="AD27" s="20"/>
      <c r="AE27" s="11"/>
      <c r="AF27" s="10"/>
    </row>
    <row r="28" spans="1:37" x14ac:dyDescent="0.25">
      <c r="A28" s="15">
        <v>39</v>
      </c>
      <c r="B28" s="15" t="s">
        <v>46</v>
      </c>
      <c r="C28" s="13">
        <v>44495</v>
      </c>
      <c r="D28" s="11">
        <f t="shared" si="0"/>
        <v>44556</v>
      </c>
      <c r="E28" s="15">
        <v>98.5</v>
      </c>
      <c r="F28" s="15">
        <v>2</v>
      </c>
      <c r="G28" s="15">
        <v>2514.5</v>
      </c>
      <c r="H28" s="15">
        <v>2995.07</v>
      </c>
      <c r="I28" s="15">
        <v>2</v>
      </c>
      <c r="J28" s="15" t="s">
        <v>38</v>
      </c>
      <c r="K28" s="15">
        <v>88</v>
      </c>
      <c r="L28" s="15">
        <v>5337</v>
      </c>
      <c r="M28" s="15" t="s">
        <v>28</v>
      </c>
      <c r="N28" s="15" t="s">
        <v>29</v>
      </c>
      <c r="O28" s="15" t="s">
        <v>20</v>
      </c>
      <c r="P28" s="15" t="s">
        <v>21</v>
      </c>
      <c r="Q28" s="15">
        <v>5</v>
      </c>
      <c r="R28" s="15" t="s">
        <v>29</v>
      </c>
      <c r="S28" s="15" t="s">
        <v>27</v>
      </c>
      <c r="T28" s="15">
        <v>9</v>
      </c>
      <c r="U28" s="15" t="s">
        <v>17</v>
      </c>
      <c r="V28" s="4">
        <v>1</v>
      </c>
      <c r="W28" s="4">
        <v>0</v>
      </c>
      <c r="X28" s="8"/>
      <c r="Y28" s="3"/>
      <c r="Z28"/>
      <c r="AA28" s="3"/>
      <c r="AB28" s="2"/>
      <c r="AC28" s="3"/>
      <c r="AD28" s="20"/>
      <c r="AE28" s="11"/>
      <c r="AF28" s="10"/>
    </row>
    <row r="29" spans="1:37" x14ac:dyDescent="0.25">
      <c r="A29" s="16">
        <v>37</v>
      </c>
      <c r="B29" s="16" t="s">
        <v>53</v>
      </c>
      <c r="C29" s="14">
        <v>43990</v>
      </c>
      <c r="D29" s="11">
        <f t="shared" si="0"/>
        <v>44538</v>
      </c>
      <c r="E29" s="16">
        <v>94.55</v>
      </c>
      <c r="F29" s="16">
        <v>18</v>
      </c>
      <c r="G29" s="16">
        <v>1899.65</v>
      </c>
      <c r="H29" s="16">
        <v>2005.85</v>
      </c>
      <c r="I29" s="16">
        <v>1</v>
      </c>
      <c r="J29" s="16" t="s">
        <v>17</v>
      </c>
      <c r="K29" s="16">
        <v>84</v>
      </c>
      <c r="L29" s="16">
        <v>5604</v>
      </c>
      <c r="M29" s="16" t="s">
        <v>18</v>
      </c>
      <c r="N29" s="16" t="s">
        <v>22</v>
      </c>
      <c r="O29" s="16" t="s">
        <v>33</v>
      </c>
      <c r="P29" s="16" t="s">
        <v>21</v>
      </c>
      <c r="Q29" s="16">
        <v>2</v>
      </c>
      <c r="R29" s="16" t="s">
        <v>22</v>
      </c>
      <c r="S29" s="16" t="s">
        <v>27</v>
      </c>
      <c r="T29" s="16">
        <v>1</v>
      </c>
      <c r="U29" s="16" t="s">
        <v>17</v>
      </c>
      <c r="V29" s="4">
        <v>1</v>
      </c>
      <c r="W29" s="4">
        <v>1</v>
      </c>
      <c r="X29" s="8"/>
      <c r="Y29" s="3"/>
      <c r="Z29"/>
      <c r="AA29" s="3"/>
      <c r="AB29" s="2"/>
      <c r="AC29" s="3"/>
      <c r="AD29" s="20"/>
      <c r="AE29" s="11"/>
      <c r="AF29" s="10"/>
    </row>
    <row r="30" spans="1:37" x14ac:dyDescent="0.25">
      <c r="A30" s="15">
        <v>31</v>
      </c>
      <c r="B30" s="15" t="s">
        <v>44</v>
      </c>
      <c r="C30" s="13">
        <v>43956</v>
      </c>
      <c r="D30" s="11">
        <f t="shared" si="0"/>
        <v>44535</v>
      </c>
      <c r="E30" s="15">
        <v>81.349999999999994</v>
      </c>
      <c r="F30" s="15">
        <v>19</v>
      </c>
      <c r="G30" s="15">
        <v>233.7</v>
      </c>
      <c r="H30" s="15">
        <v>261.36</v>
      </c>
      <c r="I30" s="15">
        <v>1</v>
      </c>
      <c r="J30" s="15" t="s">
        <v>38</v>
      </c>
      <c r="K30" s="15">
        <v>73</v>
      </c>
      <c r="L30" s="15">
        <v>2818</v>
      </c>
      <c r="M30" s="15" t="s">
        <v>28</v>
      </c>
      <c r="N30" s="15" t="s">
        <v>22</v>
      </c>
      <c r="O30" s="15" t="s">
        <v>20</v>
      </c>
      <c r="P30" s="15" t="s">
        <v>21</v>
      </c>
      <c r="Q30" s="15">
        <v>3</v>
      </c>
      <c r="R30" s="15" t="s">
        <v>29</v>
      </c>
      <c r="S30" s="15" t="s">
        <v>32</v>
      </c>
      <c r="T30" s="15">
        <v>2</v>
      </c>
      <c r="U30" s="15" t="s">
        <v>38</v>
      </c>
      <c r="V30" s="4">
        <v>0</v>
      </c>
      <c r="W30" s="4">
        <v>0</v>
      </c>
      <c r="X30" s="8"/>
      <c r="Y30" s="3"/>
      <c r="Z30"/>
      <c r="AA30" s="3"/>
      <c r="AB30" s="2"/>
      <c r="AC30" s="3"/>
      <c r="AD30" s="20"/>
      <c r="AE30" s="11"/>
      <c r="AF30" s="10"/>
    </row>
    <row r="31" spans="1:37" x14ac:dyDescent="0.25">
      <c r="A31" s="16">
        <v>26</v>
      </c>
      <c r="B31" s="16" t="s">
        <v>50</v>
      </c>
      <c r="C31" s="14">
        <v>43840</v>
      </c>
      <c r="D31" s="11">
        <f t="shared" si="0"/>
        <v>44540</v>
      </c>
      <c r="E31" s="16">
        <v>85.35</v>
      </c>
      <c r="F31" s="16">
        <v>23</v>
      </c>
      <c r="G31" s="16">
        <v>1463.45</v>
      </c>
      <c r="H31" s="16">
        <v>2089.39</v>
      </c>
      <c r="I31" s="16">
        <v>1</v>
      </c>
      <c r="J31" s="16" t="s">
        <v>17</v>
      </c>
      <c r="K31" s="16">
        <v>90</v>
      </c>
      <c r="L31" s="16">
        <v>3209</v>
      </c>
      <c r="M31" s="16" t="s">
        <v>24</v>
      </c>
      <c r="N31" s="16" t="s">
        <v>22</v>
      </c>
      <c r="O31" s="16" t="s">
        <v>20</v>
      </c>
      <c r="P31" s="16" t="s">
        <v>21</v>
      </c>
      <c r="Q31" s="16">
        <v>5</v>
      </c>
      <c r="R31" s="16" t="s">
        <v>19</v>
      </c>
      <c r="S31" s="16" t="s">
        <v>32</v>
      </c>
      <c r="T31" s="16">
        <v>7</v>
      </c>
      <c r="U31" s="16" t="s">
        <v>17</v>
      </c>
      <c r="V31" s="4">
        <v>0</v>
      </c>
      <c r="W31" s="4">
        <v>1</v>
      </c>
      <c r="X31" s="8"/>
      <c r="Y31" s="3"/>
      <c r="Z31"/>
      <c r="AA31" s="3"/>
      <c r="AB31" s="2"/>
      <c r="AC31" s="3"/>
      <c r="AD31" s="20"/>
      <c r="AE31" s="11"/>
      <c r="AF31" s="10"/>
    </row>
    <row r="32" spans="1:37" x14ac:dyDescent="0.25">
      <c r="A32" s="15">
        <v>39</v>
      </c>
      <c r="B32" s="15" t="s">
        <v>48</v>
      </c>
      <c r="C32" s="13">
        <v>44183</v>
      </c>
      <c r="D32" s="11">
        <f t="shared" si="0"/>
        <v>44548</v>
      </c>
      <c r="E32" s="15">
        <v>74.45</v>
      </c>
      <c r="F32" s="15">
        <v>12</v>
      </c>
      <c r="G32" s="15">
        <v>1145.7</v>
      </c>
      <c r="H32" s="15">
        <v>1806.75</v>
      </c>
      <c r="I32" s="15">
        <v>2</v>
      </c>
      <c r="J32" s="15" t="s">
        <v>38</v>
      </c>
      <c r="K32" s="15">
        <v>91</v>
      </c>
      <c r="L32" s="15">
        <v>5717</v>
      </c>
      <c r="M32" s="15" t="s">
        <v>28</v>
      </c>
      <c r="N32" s="15" t="s">
        <v>22</v>
      </c>
      <c r="O32" s="15" t="s">
        <v>25</v>
      </c>
      <c r="P32" s="15" t="s">
        <v>21</v>
      </c>
      <c r="Q32" s="15">
        <v>5</v>
      </c>
      <c r="R32" s="15" t="s">
        <v>22</v>
      </c>
      <c r="S32" s="15" t="s">
        <v>23</v>
      </c>
      <c r="T32" s="15">
        <v>6</v>
      </c>
      <c r="U32" s="15" t="s">
        <v>17</v>
      </c>
      <c r="V32" s="4">
        <v>1</v>
      </c>
      <c r="W32" s="4">
        <v>0</v>
      </c>
      <c r="X32" s="8"/>
      <c r="Y32" s="3"/>
      <c r="Z32"/>
      <c r="AA32" s="3"/>
      <c r="AB32" s="2"/>
      <c r="AC32" s="3"/>
      <c r="AD32" s="20"/>
      <c r="AE32" s="11"/>
      <c r="AF32" s="10"/>
    </row>
    <row r="33" spans="1:32" x14ac:dyDescent="0.25">
      <c r="A33" s="16">
        <v>40</v>
      </c>
      <c r="B33" s="16" t="s">
        <v>53</v>
      </c>
      <c r="C33" s="14">
        <v>43966</v>
      </c>
      <c r="D33" s="11">
        <f t="shared" si="0"/>
        <v>44545</v>
      </c>
      <c r="E33" s="16">
        <v>92.1</v>
      </c>
      <c r="F33" s="16">
        <v>19</v>
      </c>
      <c r="G33" s="16">
        <v>729.95</v>
      </c>
      <c r="H33" s="16">
        <v>1073.3900000000001</v>
      </c>
      <c r="I33" s="16">
        <v>1</v>
      </c>
      <c r="J33" s="16" t="s">
        <v>17</v>
      </c>
      <c r="K33" s="16">
        <v>81</v>
      </c>
      <c r="L33" s="16">
        <v>5662</v>
      </c>
      <c r="M33" s="16" t="s">
        <v>26</v>
      </c>
      <c r="N33" s="16" t="s">
        <v>19</v>
      </c>
      <c r="O33" s="16" t="s">
        <v>31</v>
      </c>
      <c r="P33" s="16" t="s">
        <v>34</v>
      </c>
      <c r="Q33" s="16">
        <v>2</v>
      </c>
      <c r="R33" s="16" t="s">
        <v>19</v>
      </c>
      <c r="S33" s="16" t="s">
        <v>23</v>
      </c>
      <c r="T33" s="16">
        <v>3</v>
      </c>
      <c r="U33" s="16" t="s">
        <v>17</v>
      </c>
      <c r="V33" s="4">
        <v>1</v>
      </c>
      <c r="W33" s="4">
        <v>1</v>
      </c>
      <c r="X33" s="8"/>
      <c r="Y33" s="3"/>
      <c r="Z33"/>
      <c r="AA33" s="3"/>
      <c r="AB33" s="2"/>
      <c r="AC33" s="3"/>
      <c r="AD33" s="20"/>
      <c r="AE33" s="11"/>
      <c r="AF33" s="10"/>
    </row>
    <row r="34" spans="1:32" x14ac:dyDescent="0.25">
      <c r="A34" s="15">
        <v>28</v>
      </c>
      <c r="B34" s="15" t="s">
        <v>46</v>
      </c>
      <c r="C34" s="13">
        <v>44511</v>
      </c>
      <c r="D34" s="11">
        <f t="shared" ref="D34:D65" si="1">EDATE(C34,F34)</f>
        <v>44541</v>
      </c>
      <c r="E34" s="15">
        <v>99.05</v>
      </c>
      <c r="F34" s="15">
        <v>1</v>
      </c>
      <c r="G34" s="15">
        <v>3395.8</v>
      </c>
      <c r="H34" s="15">
        <v>4244.8500000000004</v>
      </c>
      <c r="I34" s="15">
        <v>1</v>
      </c>
      <c r="J34" s="15" t="s">
        <v>38</v>
      </c>
      <c r="K34" s="15">
        <v>82</v>
      </c>
      <c r="L34" s="15">
        <v>2074</v>
      </c>
      <c r="M34" s="15" t="s">
        <v>18</v>
      </c>
      <c r="N34" s="15" t="s">
        <v>22</v>
      </c>
      <c r="O34" s="15" t="s">
        <v>25</v>
      </c>
      <c r="P34" s="15" t="s">
        <v>21</v>
      </c>
      <c r="Q34" s="15">
        <v>5</v>
      </c>
      <c r="R34" s="15" t="s">
        <v>22</v>
      </c>
      <c r="S34" s="15" t="s">
        <v>30</v>
      </c>
      <c r="T34" s="15">
        <v>6</v>
      </c>
      <c r="U34" s="15" t="s">
        <v>17</v>
      </c>
      <c r="V34" s="4">
        <v>0</v>
      </c>
      <c r="W34" s="4">
        <v>0</v>
      </c>
      <c r="X34" s="8"/>
      <c r="Y34" s="3"/>
      <c r="Z34"/>
      <c r="AA34" s="3"/>
      <c r="AB34" s="2"/>
      <c r="AC34" s="3"/>
      <c r="AD34" s="20"/>
      <c r="AE34" s="11"/>
      <c r="AF34" s="10"/>
    </row>
    <row r="35" spans="1:32" x14ac:dyDescent="0.25">
      <c r="A35" s="16">
        <v>38</v>
      </c>
      <c r="B35" s="16" t="s">
        <v>47</v>
      </c>
      <c r="C35" s="14">
        <v>44334</v>
      </c>
      <c r="D35" s="11">
        <f t="shared" si="1"/>
        <v>44548</v>
      </c>
      <c r="E35" s="16">
        <v>88.3</v>
      </c>
      <c r="F35" s="16">
        <v>7</v>
      </c>
      <c r="G35" s="16">
        <v>273.75</v>
      </c>
      <c r="H35" s="16">
        <v>351.06</v>
      </c>
      <c r="I35" s="16">
        <v>1</v>
      </c>
      <c r="J35" s="16" t="s">
        <v>17</v>
      </c>
      <c r="K35" s="16">
        <v>68</v>
      </c>
      <c r="L35" s="16">
        <v>4486</v>
      </c>
      <c r="M35" s="16" t="s">
        <v>18</v>
      </c>
      <c r="N35" s="16" t="s">
        <v>22</v>
      </c>
      <c r="O35" s="16" t="s">
        <v>33</v>
      </c>
      <c r="P35" s="16" t="s">
        <v>34</v>
      </c>
      <c r="Q35" s="16">
        <v>5</v>
      </c>
      <c r="R35" s="16" t="s">
        <v>22</v>
      </c>
      <c r="S35" s="16" t="s">
        <v>23</v>
      </c>
      <c r="T35" s="16">
        <v>10</v>
      </c>
      <c r="U35" s="16" t="s">
        <v>38</v>
      </c>
      <c r="V35" s="4">
        <v>2</v>
      </c>
      <c r="W35" s="4">
        <v>1</v>
      </c>
      <c r="X35" s="8"/>
      <c r="Y35" s="3"/>
      <c r="Z35"/>
      <c r="AA35" s="3"/>
      <c r="AB35" s="2"/>
      <c r="AC35" s="3"/>
      <c r="AD35" s="20"/>
      <c r="AE35" s="11"/>
      <c r="AF35" s="10"/>
    </row>
    <row r="36" spans="1:32" x14ac:dyDescent="0.25">
      <c r="A36" s="15">
        <v>24</v>
      </c>
      <c r="B36" s="15" t="s">
        <v>44</v>
      </c>
      <c r="C36" s="13">
        <v>44240</v>
      </c>
      <c r="D36" s="11">
        <f t="shared" si="1"/>
        <v>44543</v>
      </c>
      <c r="E36" s="15">
        <v>95.05</v>
      </c>
      <c r="F36" s="15">
        <v>10</v>
      </c>
      <c r="G36" s="15">
        <v>1290</v>
      </c>
      <c r="H36" s="15">
        <v>1537.39</v>
      </c>
      <c r="I36" s="15">
        <v>1</v>
      </c>
      <c r="J36" s="15" t="s">
        <v>17</v>
      </c>
      <c r="K36" s="15">
        <v>90</v>
      </c>
      <c r="L36" s="15">
        <v>2230</v>
      </c>
      <c r="M36" s="15" t="s">
        <v>18</v>
      </c>
      <c r="N36" s="15" t="s">
        <v>19</v>
      </c>
      <c r="O36" s="15" t="s">
        <v>33</v>
      </c>
      <c r="P36" s="15" t="s">
        <v>34</v>
      </c>
      <c r="Q36" s="15">
        <v>5</v>
      </c>
      <c r="R36" s="15" t="s">
        <v>19</v>
      </c>
      <c r="S36" s="15" t="s">
        <v>23</v>
      </c>
      <c r="T36" s="15">
        <v>3</v>
      </c>
      <c r="U36" s="15" t="s">
        <v>17</v>
      </c>
      <c r="V36" s="4">
        <v>0</v>
      </c>
      <c r="W36" s="4">
        <v>1</v>
      </c>
      <c r="X36" s="8"/>
      <c r="Y36" s="3"/>
      <c r="Z36"/>
      <c r="AA36" s="3"/>
      <c r="AB36" s="2"/>
      <c r="AC36" s="3"/>
      <c r="AD36" s="20"/>
      <c r="AE36" s="11"/>
      <c r="AF36" s="10"/>
    </row>
    <row r="37" spans="1:32" x14ac:dyDescent="0.25">
      <c r="A37" s="16">
        <v>35</v>
      </c>
      <c r="B37" s="16" t="s">
        <v>49</v>
      </c>
      <c r="C37" s="14">
        <v>44495</v>
      </c>
      <c r="D37" s="11">
        <f t="shared" si="1"/>
        <v>44556</v>
      </c>
      <c r="E37" s="16">
        <v>89.05</v>
      </c>
      <c r="F37" s="16">
        <v>2</v>
      </c>
      <c r="G37" s="16">
        <v>1169.3499999999999</v>
      </c>
      <c r="H37" s="16">
        <v>1188.46</v>
      </c>
      <c r="I37" s="16">
        <v>1</v>
      </c>
      <c r="J37" s="16" t="s">
        <v>38</v>
      </c>
      <c r="K37" s="16">
        <v>82</v>
      </c>
      <c r="L37" s="16">
        <v>3861</v>
      </c>
      <c r="M37" s="16" t="s">
        <v>18</v>
      </c>
      <c r="N37" s="16" t="s">
        <v>22</v>
      </c>
      <c r="O37" s="16" t="s">
        <v>20</v>
      </c>
      <c r="P37" s="16" t="s">
        <v>21</v>
      </c>
      <c r="Q37" s="16">
        <v>1</v>
      </c>
      <c r="R37" s="16" t="s">
        <v>29</v>
      </c>
      <c r="S37" s="16" t="s">
        <v>32</v>
      </c>
      <c r="T37" s="16">
        <v>7</v>
      </c>
      <c r="U37" s="16" t="s">
        <v>17</v>
      </c>
      <c r="V37" s="4">
        <v>2</v>
      </c>
      <c r="W37" s="4">
        <v>0</v>
      </c>
      <c r="X37" s="8"/>
      <c r="Y37" s="3"/>
      <c r="Z37"/>
      <c r="AA37" s="3"/>
      <c r="AB37" s="2"/>
      <c r="AC37" s="3"/>
      <c r="AD37" s="20"/>
      <c r="AE37" s="11"/>
      <c r="AF37" s="10"/>
    </row>
    <row r="38" spans="1:32" x14ac:dyDescent="0.25">
      <c r="A38" s="15">
        <v>25</v>
      </c>
      <c r="B38" s="15" t="s">
        <v>44</v>
      </c>
      <c r="C38" s="13">
        <v>44125</v>
      </c>
      <c r="D38" s="11">
        <f t="shared" si="1"/>
        <v>44551</v>
      </c>
      <c r="E38" s="15">
        <v>108.15</v>
      </c>
      <c r="F38" s="15">
        <v>14</v>
      </c>
      <c r="G38" s="15">
        <v>4600.7</v>
      </c>
      <c r="H38" s="15">
        <v>5969.3899999999994</v>
      </c>
      <c r="I38" s="15">
        <v>1</v>
      </c>
      <c r="J38" s="15" t="s">
        <v>38</v>
      </c>
      <c r="K38" s="15">
        <v>86</v>
      </c>
      <c r="L38" s="15">
        <v>2833</v>
      </c>
      <c r="M38" s="15" t="s">
        <v>18</v>
      </c>
      <c r="N38" s="15" t="s">
        <v>29</v>
      </c>
      <c r="O38" s="15" t="s">
        <v>25</v>
      </c>
      <c r="P38" s="15" t="s">
        <v>21</v>
      </c>
      <c r="Q38" s="15">
        <v>3</v>
      </c>
      <c r="R38" s="15" t="s">
        <v>22</v>
      </c>
      <c r="S38" s="15" t="s">
        <v>30</v>
      </c>
      <c r="T38" s="15">
        <v>10</v>
      </c>
      <c r="U38" s="15" t="s">
        <v>17</v>
      </c>
      <c r="V38" s="4">
        <v>0</v>
      </c>
      <c r="W38" s="4">
        <v>0</v>
      </c>
      <c r="X38" s="8"/>
      <c r="Y38" s="3"/>
      <c r="Z38"/>
      <c r="AA38" s="3"/>
      <c r="AB38" s="2"/>
      <c r="AC38" s="3"/>
      <c r="AD38" s="20"/>
      <c r="AE38" s="11"/>
      <c r="AF38" s="10"/>
    </row>
    <row r="39" spans="1:32" x14ac:dyDescent="0.25">
      <c r="A39" s="16">
        <v>31</v>
      </c>
      <c r="B39" s="16" t="s">
        <v>49</v>
      </c>
      <c r="C39" s="14">
        <v>44163</v>
      </c>
      <c r="D39" s="11">
        <f t="shared" si="1"/>
        <v>44558</v>
      </c>
      <c r="E39" s="16">
        <v>108.4</v>
      </c>
      <c r="F39" s="16">
        <v>13</v>
      </c>
      <c r="G39" s="16">
        <v>7318.2</v>
      </c>
      <c r="H39" s="16">
        <v>10690.92</v>
      </c>
      <c r="I39" s="16">
        <v>3</v>
      </c>
      <c r="J39" s="16" t="s">
        <v>17</v>
      </c>
      <c r="K39" s="16">
        <v>73</v>
      </c>
      <c r="L39" s="16">
        <v>4708</v>
      </c>
      <c r="M39" s="16" t="s">
        <v>18</v>
      </c>
      <c r="N39" s="16" t="s">
        <v>22</v>
      </c>
      <c r="O39" s="16" t="s">
        <v>31</v>
      </c>
      <c r="P39" s="16" t="s">
        <v>21</v>
      </c>
      <c r="Q39" s="16">
        <v>4</v>
      </c>
      <c r="R39" s="16" t="s">
        <v>19</v>
      </c>
      <c r="S39" s="16" t="s">
        <v>23</v>
      </c>
      <c r="T39" s="16">
        <v>9</v>
      </c>
      <c r="U39" s="16" t="s">
        <v>38</v>
      </c>
      <c r="V39" s="4">
        <v>2</v>
      </c>
      <c r="W39" s="4">
        <v>1</v>
      </c>
      <c r="X39" s="8"/>
      <c r="Y39" s="3"/>
      <c r="Z39"/>
      <c r="AA39" s="3"/>
      <c r="AB39" s="2"/>
      <c r="AC39" s="3"/>
      <c r="AD39" s="20"/>
      <c r="AE39" s="11"/>
      <c r="AF39" s="10"/>
    </row>
    <row r="40" spans="1:32" x14ac:dyDescent="0.25">
      <c r="A40" s="15">
        <v>33</v>
      </c>
      <c r="B40" s="15" t="s">
        <v>46</v>
      </c>
      <c r="C40" s="13">
        <v>44379</v>
      </c>
      <c r="D40" s="11">
        <f t="shared" si="1"/>
        <v>44532</v>
      </c>
      <c r="E40" s="15">
        <v>106.35</v>
      </c>
      <c r="F40" s="15">
        <v>5</v>
      </c>
      <c r="G40" s="15">
        <v>3520.75</v>
      </c>
      <c r="H40" s="15">
        <v>3774.19</v>
      </c>
      <c r="I40" s="15">
        <v>2</v>
      </c>
      <c r="J40" s="15" t="s">
        <v>38</v>
      </c>
      <c r="K40" s="15">
        <v>65</v>
      </c>
      <c r="L40" s="15">
        <v>4113</v>
      </c>
      <c r="M40" s="15" t="s">
        <v>28</v>
      </c>
      <c r="N40" s="15" t="s">
        <v>29</v>
      </c>
      <c r="O40" s="15" t="s">
        <v>20</v>
      </c>
      <c r="P40" s="15" t="s">
        <v>21</v>
      </c>
      <c r="Q40" s="15">
        <v>1</v>
      </c>
      <c r="R40" s="15" t="s">
        <v>19</v>
      </c>
      <c r="S40" s="15" t="s">
        <v>30</v>
      </c>
      <c r="T40" s="15">
        <v>4</v>
      </c>
      <c r="U40" s="15" t="s">
        <v>38</v>
      </c>
      <c r="V40" s="4">
        <v>2</v>
      </c>
      <c r="W40" s="4">
        <v>0</v>
      </c>
      <c r="X40" s="8"/>
      <c r="Y40" s="3"/>
      <c r="Z40"/>
      <c r="AA40" s="3"/>
      <c r="AB40" s="2"/>
      <c r="AC40" s="3"/>
      <c r="AD40" s="20"/>
      <c r="AE40" s="11"/>
      <c r="AF40" s="10"/>
    </row>
    <row r="41" spans="1:32" x14ac:dyDescent="0.25">
      <c r="A41" s="16">
        <v>30</v>
      </c>
      <c r="B41" s="16" t="s">
        <v>52</v>
      </c>
      <c r="C41" s="14">
        <v>44198</v>
      </c>
      <c r="D41" s="11">
        <f t="shared" si="1"/>
        <v>44532</v>
      </c>
      <c r="E41" s="16">
        <v>94.5</v>
      </c>
      <c r="F41" s="16">
        <v>11</v>
      </c>
      <c r="G41" s="16">
        <v>3105.55</v>
      </c>
      <c r="H41" s="16">
        <v>4022.29</v>
      </c>
      <c r="I41" s="16">
        <v>3</v>
      </c>
      <c r="J41" s="16" t="s">
        <v>38</v>
      </c>
      <c r="K41" s="16">
        <v>91</v>
      </c>
      <c r="L41" s="16">
        <v>4333</v>
      </c>
      <c r="M41" s="16" t="s">
        <v>18</v>
      </c>
      <c r="N41" s="16" t="s">
        <v>22</v>
      </c>
      <c r="O41" s="16" t="s">
        <v>35</v>
      </c>
      <c r="P41" s="16" t="s">
        <v>21</v>
      </c>
      <c r="Q41" s="16">
        <v>2</v>
      </c>
      <c r="R41" s="16" t="s">
        <v>29</v>
      </c>
      <c r="S41" s="16" t="s">
        <v>27</v>
      </c>
      <c r="T41" s="16">
        <v>8</v>
      </c>
      <c r="U41" s="16" t="s">
        <v>38</v>
      </c>
      <c r="V41" s="4">
        <v>2</v>
      </c>
      <c r="W41" s="4">
        <v>0</v>
      </c>
      <c r="X41" s="8"/>
      <c r="Y41" s="3"/>
      <c r="Z41"/>
      <c r="AA41" s="3"/>
      <c r="AB41" s="2"/>
      <c r="AC41" s="3"/>
      <c r="AD41" s="20"/>
      <c r="AE41" s="11"/>
      <c r="AF41" s="10"/>
    </row>
    <row r="42" spans="1:32" x14ac:dyDescent="0.25">
      <c r="A42" s="15">
        <v>30</v>
      </c>
      <c r="B42" s="15" t="s">
        <v>53</v>
      </c>
      <c r="C42" s="13">
        <v>44502</v>
      </c>
      <c r="D42" s="11">
        <f t="shared" si="1"/>
        <v>44532</v>
      </c>
      <c r="E42" s="15">
        <v>24.45</v>
      </c>
      <c r="F42" s="15">
        <v>1</v>
      </c>
      <c r="G42" s="15">
        <v>47.5</v>
      </c>
      <c r="H42" s="15">
        <v>47.5</v>
      </c>
      <c r="I42" s="15">
        <v>3</v>
      </c>
      <c r="J42" s="15" t="s">
        <v>17</v>
      </c>
      <c r="K42" s="15">
        <v>77</v>
      </c>
      <c r="L42" s="15">
        <v>5573</v>
      </c>
      <c r="M42" s="15" t="s">
        <v>18</v>
      </c>
      <c r="N42" s="15" t="s">
        <v>29</v>
      </c>
      <c r="O42" s="15" t="s">
        <v>25</v>
      </c>
      <c r="P42" s="15" t="s">
        <v>21</v>
      </c>
      <c r="Q42" s="15">
        <v>2</v>
      </c>
      <c r="R42" s="15" t="s">
        <v>19</v>
      </c>
      <c r="S42" s="15" t="s">
        <v>32</v>
      </c>
      <c r="T42" s="15">
        <v>10</v>
      </c>
      <c r="U42" s="15" t="s">
        <v>38</v>
      </c>
      <c r="V42" s="4">
        <v>1</v>
      </c>
      <c r="W42" s="4">
        <v>1</v>
      </c>
      <c r="X42" s="8"/>
      <c r="Y42" s="3"/>
      <c r="Z42"/>
      <c r="AA42" s="3"/>
      <c r="AB42" s="2"/>
      <c r="AC42" s="3"/>
      <c r="AD42" s="20"/>
      <c r="AE42" s="11"/>
      <c r="AF42" s="10"/>
    </row>
    <row r="43" spans="1:32" x14ac:dyDescent="0.25">
      <c r="A43" s="16">
        <v>30</v>
      </c>
      <c r="B43" s="16" t="s">
        <v>46</v>
      </c>
      <c r="C43" s="14">
        <v>44288</v>
      </c>
      <c r="D43" s="11">
        <f t="shared" si="1"/>
        <v>44532</v>
      </c>
      <c r="E43" s="16">
        <v>43.65</v>
      </c>
      <c r="F43" s="16">
        <v>8</v>
      </c>
      <c r="G43" s="16">
        <v>526.95000000000005</v>
      </c>
      <c r="H43" s="16">
        <v>526.95000000000005</v>
      </c>
      <c r="I43" s="16">
        <v>1</v>
      </c>
      <c r="J43" s="16" t="s">
        <v>17</v>
      </c>
      <c r="K43" s="16">
        <v>74</v>
      </c>
      <c r="L43" s="16">
        <v>2437</v>
      </c>
      <c r="M43" s="16" t="s">
        <v>24</v>
      </c>
      <c r="N43" s="16" t="s">
        <v>29</v>
      </c>
      <c r="O43" s="16" t="s">
        <v>20</v>
      </c>
      <c r="P43" s="16" t="s">
        <v>21</v>
      </c>
      <c r="Q43" s="16">
        <v>2</v>
      </c>
      <c r="R43" s="16" t="s">
        <v>22</v>
      </c>
      <c r="S43" s="16" t="s">
        <v>23</v>
      </c>
      <c r="T43" s="16">
        <v>1</v>
      </c>
      <c r="U43" s="16" t="s">
        <v>38</v>
      </c>
      <c r="V43" s="4">
        <v>0</v>
      </c>
      <c r="W43" s="4">
        <v>1</v>
      </c>
      <c r="X43" s="8"/>
      <c r="Y43" s="3"/>
      <c r="Z43"/>
      <c r="AA43" s="3"/>
      <c r="AB43" s="2"/>
      <c r="AC43" s="3"/>
      <c r="AD43" s="20"/>
      <c r="AE43" s="11"/>
      <c r="AF43" s="10"/>
    </row>
    <row r="44" spans="1:32" x14ac:dyDescent="0.25">
      <c r="A44" s="15">
        <v>35</v>
      </c>
      <c r="B44" s="15" t="s">
        <v>45</v>
      </c>
      <c r="C44" s="13">
        <v>44207</v>
      </c>
      <c r="D44" s="11">
        <f t="shared" si="1"/>
        <v>44541</v>
      </c>
      <c r="E44" s="15">
        <v>94.3</v>
      </c>
      <c r="F44" s="15">
        <v>11</v>
      </c>
      <c r="G44" s="15">
        <v>424.45</v>
      </c>
      <c r="H44" s="15">
        <v>622.45000000000005</v>
      </c>
      <c r="I44" s="15">
        <v>2</v>
      </c>
      <c r="J44" s="15" t="s">
        <v>17</v>
      </c>
      <c r="K44" s="15">
        <v>91</v>
      </c>
      <c r="L44" s="15">
        <v>5419</v>
      </c>
      <c r="M44" s="15" t="s">
        <v>18</v>
      </c>
      <c r="N44" s="15" t="s">
        <v>22</v>
      </c>
      <c r="O44" s="15" t="s">
        <v>33</v>
      </c>
      <c r="P44" s="15" t="s">
        <v>21</v>
      </c>
      <c r="Q44" s="15">
        <v>1</v>
      </c>
      <c r="R44" s="15" t="s">
        <v>29</v>
      </c>
      <c r="S44" s="15" t="s">
        <v>32</v>
      </c>
      <c r="T44" s="15">
        <v>7</v>
      </c>
      <c r="U44" s="15" t="s">
        <v>17</v>
      </c>
      <c r="V44" s="4">
        <v>1</v>
      </c>
      <c r="W44" s="4">
        <v>1</v>
      </c>
      <c r="X44" s="8"/>
      <c r="Y44" s="3"/>
      <c r="Z44"/>
      <c r="AA44" s="3"/>
      <c r="AB44" s="2"/>
      <c r="AC44" s="3"/>
      <c r="AD44" s="20"/>
      <c r="AE44" s="11"/>
      <c r="AF44" s="10"/>
    </row>
    <row r="45" spans="1:32" x14ac:dyDescent="0.25">
      <c r="A45" s="16">
        <v>36</v>
      </c>
      <c r="B45" s="16" t="s">
        <v>47</v>
      </c>
      <c r="C45" s="14">
        <v>44349</v>
      </c>
      <c r="D45" s="11">
        <f t="shared" si="1"/>
        <v>44532</v>
      </c>
      <c r="E45" s="16">
        <v>78.05</v>
      </c>
      <c r="F45" s="16">
        <v>6</v>
      </c>
      <c r="G45" s="16">
        <v>2135.5</v>
      </c>
      <c r="H45" s="16">
        <v>2235.41</v>
      </c>
      <c r="I45" s="16">
        <v>1</v>
      </c>
      <c r="J45" s="16" t="s">
        <v>38</v>
      </c>
      <c r="K45" s="16">
        <v>95</v>
      </c>
      <c r="L45" s="16">
        <v>4638</v>
      </c>
      <c r="M45" s="16" t="s">
        <v>18</v>
      </c>
      <c r="N45" s="16" t="s">
        <v>19</v>
      </c>
      <c r="O45" s="16" t="s">
        <v>31</v>
      </c>
      <c r="P45" s="16" t="s">
        <v>21</v>
      </c>
      <c r="Q45" s="16">
        <v>5</v>
      </c>
      <c r="R45" s="16" t="s">
        <v>22</v>
      </c>
      <c r="S45" s="16" t="s">
        <v>32</v>
      </c>
      <c r="T45" s="16">
        <v>4</v>
      </c>
      <c r="U45" s="16" t="s">
        <v>17</v>
      </c>
      <c r="V45" s="4">
        <v>2</v>
      </c>
      <c r="W45" s="4">
        <v>0</v>
      </c>
      <c r="X45" s="8"/>
      <c r="Y45" s="3"/>
      <c r="Z45"/>
      <c r="AA45" s="3"/>
      <c r="AB45" s="2"/>
      <c r="AC45" s="3"/>
      <c r="AD45" s="20"/>
      <c r="AE45" s="11"/>
      <c r="AF45" s="10"/>
    </row>
    <row r="46" spans="1:32" x14ac:dyDescent="0.25">
      <c r="A46" s="15">
        <v>23</v>
      </c>
      <c r="B46" s="15" t="s">
        <v>53</v>
      </c>
      <c r="C46" s="13">
        <v>44099</v>
      </c>
      <c r="D46" s="11">
        <f t="shared" si="1"/>
        <v>44555</v>
      </c>
      <c r="E46" s="15">
        <v>100.5</v>
      </c>
      <c r="F46" s="15">
        <v>15</v>
      </c>
      <c r="G46" s="15">
        <v>918.6</v>
      </c>
      <c r="H46" s="15">
        <v>1356.99</v>
      </c>
      <c r="I46" s="15">
        <v>1</v>
      </c>
      <c r="J46" s="15" t="s">
        <v>38</v>
      </c>
      <c r="K46" s="15">
        <v>70</v>
      </c>
      <c r="L46" s="15">
        <v>4038</v>
      </c>
      <c r="M46" s="15" t="s">
        <v>24</v>
      </c>
      <c r="N46" s="15" t="s">
        <v>29</v>
      </c>
      <c r="O46" s="15" t="s">
        <v>20</v>
      </c>
      <c r="P46" s="15" t="s">
        <v>21</v>
      </c>
      <c r="Q46" s="15">
        <v>1</v>
      </c>
      <c r="R46" s="15" t="s">
        <v>29</v>
      </c>
      <c r="S46" s="15" t="s">
        <v>30</v>
      </c>
      <c r="T46" s="15">
        <v>2</v>
      </c>
      <c r="U46" s="15" t="s">
        <v>38</v>
      </c>
      <c r="V46" s="4">
        <v>2</v>
      </c>
      <c r="W46" s="4">
        <v>0</v>
      </c>
      <c r="X46" s="8"/>
      <c r="Y46" s="3"/>
      <c r="Z46"/>
      <c r="AA46" s="3"/>
      <c r="AB46" s="2"/>
      <c r="AC46" s="3"/>
      <c r="AD46" s="20"/>
      <c r="AE46" s="11"/>
      <c r="AF46" s="10"/>
    </row>
    <row r="47" spans="1:32" x14ac:dyDescent="0.25">
      <c r="A47" s="16">
        <v>33</v>
      </c>
      <c r="B47" s="16" t="s">
        <v>53</v>
      </c>
      <c r="C47" s="14">
        <v>44328</v>
      </c>
      <c r="D47" s="11">
        <f t="shared" si="1"/>
        <v>44542</v>
      </c>
      <c r="E47" s="16">
        <v>96.7</v>
      </c>
      <c r="F47" s="16">
        <v>7</v>
      </c>
      <c r="G47" s="16">
        <v>2082.9499999999998</v>
      </c>
      <c r="H47" s="16">
        <v>3066.91</v>
      </c>
      <c r="I47" s="16">
        <v>1</v>
      </c>
      <c r="J47" s="16" t="s">
        <v>38</v>
      </c>
      <c r="K47" s="16">
        <v>93</v>
      </c>
      <c r="L47" s="16">
        <v>4458</v>
      </c>
      <c r="M47" s="16" t="s">
        <v>26</v>
      </c>
      <c r="N47" s="16" t="s">
        <v>22</v>
      </c>
      <c r="O47" s="16" t="s">
        <v>20</v>
      </c>
      <c r="P47" s="16" t="s">
        <v>34</v>
      </c>
      <c r="Q47" s="16">
        <v>4</v>
      </c>
      <c r="R47" s="16" t="s">
        <v>22</v>
      </c>
      <c r="S47" s="16" t="s">
        <v>32</v>
      </c>
      <c r="T47" s="16">
        <v>8</v>
      </c>
      <c r="U47" s="16" t="s">
        <v>17</v>
      </c>
      <c r="V47" s="4">
        <v>2</v>
      </c>
      <c r="W47" s="4">
        <v>0</v>
      </c>
      <c r="X47" s="8"/>
      <c r="Y47" s="3"/>
      <c r="Z47"/>
      <c r="AA47" s="3"/>
      <c r="AB47" s="2"/>
      <c r="AC47" s="3"/>
      <c r="AD47" s="20"/>
      <c r="AE47" s="11"/>
      <c r="AF47" s="10"/>
    </row>
    <row r="48" spans="1:32" x14ac:dyDescent="0.25">
      <c r="A48" s="15">
        <v>23</v>
      </c>
      <c r="B48" s="15" t="s">
        <v>51</v>
      </c>
      <c r="C48" s="13">
        <v>44474</v>
      </c>
      <c r="D48" s="11">
        <f t="shared" si="1"/>
        <v>44535</v>
      </c>
      <c r="E48" s="15">
        <v>78.95</v>
      </c>
      <c r="F48" s="15">
        <v>2</v>
      </c>
      <c r="G48" s="15">
        <v>378.4</v>
      </c>
      <c r="H48" s="15">
        <v>439.75</v>
      </c>
      <c r="I48" s="15">
        <v>3</v>
      </c>
      <c r="J48" s="15" t="s">
        <v>38</v>
      </c>
      <c r="K48" s="15">
        <v>65</v>
      </c>
      <c r="L48" s="15">
        <v>4054</v>
      </c>
      <c r="M48" s="15" t="s">
        <v>26</v>
      </c>
      <c r="N48" s="15" t="s">
        <v>19</v>
      </c>
      <c r="O48" s="15" t="s">
        <v>31</v>
      </c>
      <c r="P48" s="15" t="s">
        <v>21</v>
      </c>
      <c r="Q48" s="15">
        <v>4</v>
      </c>
      <c r="R48" s="15" t="s">
        <v>29</v>
      </c>
      <c r="S48" s="15" t="s">
        <v>32</v>
      </c>
      <c r="T48" s="15">
        <v>5</v>
      </c>
      <c r="U48" s="15" t="s">
        <v>38</v>
      </c>
      <c r="V48" s="4">
        <v>2</v>
      </c>
      <c r="W48" s="4">
        <v>0</v>
      </c>
      <c r="X48" s="8"/>
      <c r="Y48" s="3"/>
      <c r="Z48"/>
      <c r="AA48" s="3"/>
      <c r="AB48" s="2"/>
      <c r="AC48" s="3"/>
      <c r="AD48" s="20"/>
      <c r="AE48" s="11"/>
      <c r="AF48" s="10"/>
    </row>
    <row r="49" spans="1:32" x14ac:dyDescent="0.25">
      <c r="A49" s="16">
        <v>23</v>
      </c>
      <c r="B49" s="16" t="s">
        <v>46</v>
      </c>
      <c r="C49" s="14">
        <v>44391</v>
      </c>
      <c r="D49" s="11">
        <f t="shared" si="1"/>
        <v>44544</v>
      </c>
      <c r="E49" s="16">
        <v>76.5</v>
      </c>
      <c r="F49" s="16">
        <v>5</v>
      </c>
      <c r="G49" s="16">
        <v>2868.15</v>
      </c>
      <c r="H49" s="16">
        <v>3102.36</v>
      </c>
      <c r="I49" s="16">
        <v>2</v>
      </c>
      <c r="J49" s="16" t="s">
        <v>38</v>
      </c>
      <c r="K49" s="16">
        <v>67</v>
      </c>
      <c r="L49" s="16">
        <v>2793</v>
      </c>
      <c r="M49" s="16" t="s">
        <v>18</v>
      </c>
      <c r="N49" s="16" t="s">
        <v>29</v>
      </c>
      <c r="O49" s="16" t="s">
        <v>20</v>
      </c>
      <c r="P49" s="16" t="s">
        <v>21</v>
      </c>
      <c r="Q49" s="16">
        <v>3</v>
      </c>
      <c r="R49" s="16" t="s">
        <v>22</v>
      </c>
      <c r="S49" s="16" t="s">
        <v>30</v>
      </c>
      <c r="T49" s="16">
        <v>3</v>
      </c>
      <c r="U49" s="16" t="s">
        <v>38</v>
      </c>
      <c r="V49" s="4">
        <v>0</v>
      </c>
      <c r="W49" s="4">
        <v>0</v>
      </c>
      <c r="X49" s="8"/>
      <c r="Y49" s="3"/>
      <c r="Z49"/>
      <c r="AA49" s="3"/>
      <c r="AB49" s="2"/>
      <c r="AC49" s="3"/>
      <c r="AD49" s="20"/>
      <c r="AE49" s="11"/>
      <c r="AF49" s="10"/>
    </row>
    <row r="50" spans="1:32" x14ac:dyDescent="0.25">
      <c r="A50" s="15">
        <v>23</v>
      </c>
      <c r="B50" s="15" t="s">
        <v>50</v>
      </c>
      <c r="C50" s="13">
        <v>44260</v>
      </c>
      <c r="D50" s="11">
        <f t="shared" si="1"/>
        <v>44535</v>
      </c>
      <c r="E50" s="15">
        <v>108.85</v>
      </c>
      <c r="F50" s="15">
        <v>9</v>
      </c>
      <c r="G50" s="15">
        <v>6287.25</v>
      </c>
      <c r="H50" s="15">
        <v>9151.2900000000009</v>
      </c>
      <c r="I50" s="15">
        <v>1</v>
      </c>
      <c r="J50" s="15" t="s">
        <v>17</v>
      </c>
      <c r="K50" s="15">
        <v>91</v>
      </c>
      <c r="L50" s="15">
        <v>4739</v>
      </c>
      <c r="M50" s="15" t="s">
        <v>18</v>
      </c>
      <c r="N50" s="15" t="s">
        <v>22</v>
      </c>
      <c r="O50" s="15" t="s">
        <v>33</v>
      </c>
      <c r="P50" s="15" t="s">
        <v>21</v>
      </c>
      <c r="Q50" s="15">
        <v>5</v>
      </c>
      <c r="R50" s="15" t="s">
        <v>22</v>
      </c>
      <c r="S50" s="15" t="s">
        <v>27</v>
      </c>
      <c r="T50" s="15">
        <v>9</v>
      </c>
      <c r="U50" s="15" t="s">
        <v>17</v>
      </c>
      <c r="V50" s="4">
        <v>2</v>
      </c>
      <c r="W50" s="4">
        <v>1</v>
      </c>
      <c r="X50" s="8"/>
      <c r="Y50" s="3"/>
      <c r="Z50"/>
      <c r="AA50" s="3"/>
      <c r="AB50" s="2"/>
      <c r="AC50" s="3"/>
      <c r="AD50" s="20"/>
      <c r="AE50" s="11"/>
      <c r="AF50" s="10"/>
    </row>
    <row r="51" spans="1:32" x14ac:dyDescent="0.25">
      <c r="A51" s="16">
        <v>20</v>
      </c>
      <c r="B51" s="16" t="s">
        <v>49</v>
      </c>
      <c r="C51" s="14">
        <v>44267</v>
      </c>
      <c r="D51" s="11">
        <f t="shared" si="1"/>
        <v>44542</v>
      </c>
      <c r="E51" s="16">
        <v>45.3</v>
      </c>
      <c r="F51" s="16">
        <v>9</v>
      </c>
      <c r="G51" s="16">
        <v>2651.2</v>
      </c>
      <c r="H51" s="16">
        <v>2610.25</v>
      </c>
      <c r="I51" s="16">
        <v>1</v>
      </c>
      <c r="J51" s="16" t="s">
        <v>38</v>
      </c>
      <c r="K51" s="16">
        <v>91</v>
      </c>
      <c r="L51" s="16">
        <v>5444</v>
      </c>
      <c r="M51" s="16" t="s">
        <v>26</v>
      </c>
      <c r="N51" s="16" t="s">
        <v>29</v>
      </c>
      <c r="O51" s="16" t="s">
        <v>31</v>
      </c>
      <c r="P51" s="16" t="s">
        <v>21</v>
      </c>
      <c r="Q51" s="16">
        <v>5</v>
      </c>
      <c r="R51" s="16" t="s">
        <v>29</v>
      </c>
      <c r="S51" s="16" t="s">
        <v>23</v>
      </c>
      <c r="T51" s="16">
        <v>10</v>
      </c>
      <c r="U51" s="16" t="s">
        <v>17</v>
      </c>
      <c r="V51" s="4">
        <v>1</v>
      </c>
      <c r="W51" s="4">
        <v>0</v>
      </c>
      <c r="X51" s="8"/>
      <c r="Y51" s="3"/>
      <c r="Z51"/>
      <c r="AA51" s="3"/>
      <c r="AB51" s="2"/>
      <c r="AC51" s="3"/>
      <c r="AD51" s="20"/>
      <c r="AE51" s="11"/>
      <c r="AF51" s="10"/>
    </row>
    <row r="52" spans="1:32" x14ac:dyDescent="0.25">
      <c r="A52" s="15">
        <v>36</v>
      </c>
      <c r="B52" s="15" t="s">
        <v>48</v>
      </c>
      <c r="C52" s="13">
        <v>44158</v>
      </c>
      <c r="D52" s="11">
        <f t="shared" si="1"/>
        <v>44553</v>
      </c>
      <c r="E52" s="15">
        <v>98.55</v>
      </c>
      <c r="F52" s="15">
        <v>13</v>
      </c>
      <c r="G52" s="15">
        <v>1842.8</v>
      </c>
      <c r="H52" s="15">
        <v>2851.6</v>
      </c>
      <c r="I52" s="15">
        <v>3</v>
      </c>
      <c r="J52" s="15" t="s">
        <v>17</v>
      </c>
      <c r="K52" s="15">
        <v>92</v>
      </c>
      <c r="L52" s="15">
        <v>5444</v>
      </c>
      <c r="M52" s="15" t="s">
        <v>18</v>
      </c>
      <c r="N52" s="15" t="s">
        <v>29</v>
      </c>
      <c r="O52" s="15" t="s">
        <v>35</v>
      </c>
      <c r="P52" s="15" t="s">
        <v>21</v>
      </c>
      <c r="Q52" s="15">
        <v>2</v>
      </c>
      <c r="R52" s="15" t="s">
        <v>22</v>
      </c>
      <c r="S52" s="15" t="s">
        <v>27</v>
      </c>
      <c r="T52" s="15">
        <v>1</v>
      </c>
      <c r="U52" s="15" t="s">
        <v>38</v>
      </c>
      <c r="V52" s="4">
        <v>1</v>
      </c>
      <c r="W52" s="4">
        <v>1</v>
      </c>
      <c r="X52" s="8"/>
      <c r="Y52" s="3"/>
      <c r="Z52"/>
      <c r="AA52" s="3"/>
      <c r="AB52" s="2"/>
      <c r="AC52" s="3"/>
      <c r="AD52" s="20"/>
      <c r="AE52" s="11"/>
      <c r="AF52" s="10"/>
    </row>
    <row r="53" spans="1:32" x14ac:dyDescent="0.25">
      <c r="A53" s="16">
        <v>27</v>
      </c>
      <c r="B53" s="16" t="s">
        <v>47</v>
      </c>
      <c r="C53" s="14">
        <v>44273</v>
      </c>
      <c r="D53" s="11">
        <f t="shared" si="1"/>
        <v>44548</v>
      </c>
      <c r="E53" s="16">
        <v>95.35</v>
      </c>
      <c r="F53" s="16">
        <v>9</v>
      </c>
      <c r="G53" s="16">
        <v>898.35</v>
      </c>
      <c r="H53" s="16">
        <v>1312.05</v>
      </c>
      <c r="I53" s="16">
        <v>1</v>
      </c>
      <c r="J53" s="16" t="s">
        <v>17</v>
      </c>
      <c r="K53" s="16">
        <v>75</v>
      </c>
      <c r="L53" s="16">
        <v>5353</v>
      </c>
      <c r="M53" s="16" t="s">
        <v>18</v>
      </c>
      <c r="N53" s="16" t="s">
        <v>29</v>
      </c>
      <c r="O53" s="16" t="s">
        <v>33</v>
      </c>
      <c r="P53" s="16" t="s">
        <v>21</v>
      </c>
      <c r="Q53" s="16">
        <v>5</v>
      </c>
      <c r="R53" s="16" t="s">
        <v>22</v>
      </c>
      <c r="S53" s="16" t="s">
        <v>23</v>
      </c>
      <c r="T53" s="16">
        <v>5</v>
      </c>
      <c r="U53" s="16" t="s">
        <v>38</v>
      </c>
      <c r="V53" s="4">
        <v>1</v>
      </c>
      <c r="W53" s="4">
        <v>1</v>
      </c>
      <c r="X53" s="8"/>
      <c r="Y53" s="3"/>
      <c r="Z53"/>
      <c r="AA53" s="3"/>
      <c r="AB53" s="2"/>
      <c r="AC53" s="3"/>
      <c r="AD53" s="20"/>
      <c r="AE53" s="11"/>
      <c r="AF53" s="10"/>
    </row>
    <row r="54" spans="1:32" x14ac:dyDescent="0.25">
      <c r="A54" s="15">
        <v>25</v>
      </c>
      <c r="B54" s="15" t="s">
        <v>44</v>
      </c>
      <c r="C54" s="13">
        <v>43839</v>
      </c>
      <c r="D54" s="11">
        <f t="shared" si="1"/>
        <v>44539</v>
      </c>
      <c r="E54" s="15">
        <v>69.25</v>
      </c>
      <c r="F54" s="15">
        <v>23</v>
      </c>
      <c r="G54" s="15">
        <v>69.25</v>
      </c>
      <c r="H54" s="15">
        <v>98.93</v>
      </c>
      <c r="I54" s="15">
        <v>2</v>
      </c>
      <c r="J54" s="15" t="s">
        <v>38</v>
      </c>
      <c r="K54" s="15">
        <v>75</v>
      </c>
      <c r="L54" s="15">
        <v>4371</v>
      </c>
      <c r="M54" s="15" t="s">
        <v>18</v>
      </c>
      <c r="N54" s="15" t="s">
        <v>19</v>
      </c>
      <c r="O54" s="15" t="s">
        <v>33</v>
      </c>
      <c r="P54" s="15" t="s">
        <v>21</v>
      </c>
      <c r="Q54" s="15">
        <v>5</v>
      </c>
      <c r="R54" s="15" t="s">
        <v>29</v>
      </c>
      <c r="S54" s="15" t="s">
        <v>32</v>
      </c>
      <c r="T54" s="15">
        <v>9</v>
      </c>
      <c r="U54" s="15" t="s">
        <v>38</v>
      </c>
      <c r="V54" s="4">
        <v>2</v>
      </c>
      <c r="W54" s="4">
        <v>0</v>
      </c>
      <c r="X54" s="8"/>
      <c r="Y54" s="3"/>
      <c r="Z54"/>
      <c r="AA54" s="3"/>
      <c r="AB54" s="2"/>
      <c r="AC54" s="3"/>
      <c r="AD54" s="20"/>
      <c r="AE54" s="11"/>
      <c r="AF54" s="10"/>
    </row>
    <row r="55" spans="1:32" x14ac:dyDescent="0.25">
      <c r="A55" s="16">
        <v>35</v>
      </c>
      <c r="B55" s="16" t="s">
        <v>50</v>
      </c>
      <c r="C55" s="14">
        <v>44329</v>
      </c>
      <c r="D55" s="11">
        <f t="shared" si="1"/>
        <v>44543</v>
      </c>
      <c r="E55" s="16">
        <v>75.55</v>
      </c>
      <c r="F55" s="16">
        <v>7</v>
      </c>
      <c r="G55" s="16">
        <v>349.65</v>
      </c>
      <c r="H55" s="16">
        <v>561.29999999999995</v>
      </c>
      <c r="I55" s="16">
        <v>1</v>
      </c>
      <c r="J55" s="16" t="s">
        <v>38</v>
      </c>
      <c r="K55" s="16">
        <v>90</v>
      </c>
      <c r="L55" s="16">
        <v>4028</v>
      </c>
      <c r="M55" s="16" t="s">
        <v>26</v>
      </c>
      <c r="N55" s="16" t="s">
        <v>19</v>
      </c>
      <c r="O55" s="16" t="s">
        <v>35</v>
      </c>
      <c r="P55" s="16" t="s">
        <v>21</v>
      </c>
      <c r="Q55" s="16">
        <v>2</v>
      </c>
      <c r="R55" s="16" t="s">
        <v>19</v>
      </c>
      <c r="S55" s="16" t="s">
        <v>30</v>
      </c>
      <c r="T55" s="16">
        <v>8</v>
      </c>
      <c r="U55" s="16" t="s">
        <v>17</v>
      </c>
      <c r="V55" s="4">
        <v>2</v>
      </c>
      <c r="W55" s="4">
        <v>0</v>
      </c>
      <c r="X55" s="8"/>
      <c r="Y55" s="3"/>
      <c r="Z55"/>
      <c r="AA55" s="3"/>
      <c r="AB55" s="2"/>
      <c r="AC55" s="3"/>
      <c r="AD55" s="20"/>
      <c r="AE55" s="11"/>
      <c r="AF55" s="10"/>
    </row>
    <row r="56" spans="1:32" x14ac:dyDescent="0.25">
      <c r="A56" s="15">
        <v>33</v>
      </c>
      <c r="B56" s="15" t="s">
        <v>53</v>
      </c>
      <c r="C56" s="13">
        <v>43926</v>
      </c>
      <c r="D56" s="11">
        <f t="shared" si="1"/>
        <v>44535</v>
      </c>
      <c r="E56" s="15">
        <v>50.15</v>
      </c>
      <c r="F56" s="15">
        <v>20</v>
      </c>
      <c r="G56" s="15">
        <v>50.15</v>
      </c>
      <c r="H56" s="15">
        <v>89.93</v>
      </c>
      <c r="I56" s="15">
        <v>2</v>
      </c>
      <c r="J56" s="15" t="s">
        <v>38</v>
      </c>
      <c r="K56" s="15">
        <v>91</v>
      </c>
      <c r="L56" s="15">
        <v>3438</v>
      </c>
      <c r="M56" s="15" t="s">
        <v>18</v>
      </c>
      <c r="N56" s="15" t="s">
        <v>29</v>
      </c>
      <c r="O56" s="15" t="s">
        <v>31</v>
      </c>
      <c r="P56" s="15" t="s">
        <v>21</v>
      </c>
      <c r="Q56" s="15">
        <v>1</v>
      </c>
      <c r="R56" s="15" t="s">
        <v>29</v>
      </c>
      <c r="S56" s="15" t="s">
        <v>30</v>
      </c>
      <c r="T56" s="15">
        <v>4</v>
      </c>
      <c r="U56" s="15" t="s">
        <v>17</v>
      </c>
      <c r="V56" s="4">
        <v>0</v>
      </c>
      <c r="W56" s="4">
        <v>0</v>
      </c>
      <c r="X56" s="8"/>
      <c r="Y56" s="3"/>
      <c r="Z56"/>
      <c r="AA56" s="3"/>
      <c r="AB56" s="2"/>
      <c r="AC56" s="3"/>
      <c r="AD56" s="20"/>
      <c r="AE56" s="11"/>
      <c r="AF56" s="10"/>
    </row>
    <row r="57" spans="1:32" x14ac:dyDescent="0.25">
      <c r="A57" s="16">
        <v>35</v>
      </c>
      <c r="B57" s="16" t="s">
        <v>52</v>
      </c>
      <c r="C57" s="14">
        <v>44158</v>
      </c>
      <c r="D57" s="11">
        <f t="shared" si="1"/>
        <v>44553</v>
      </c>
      <c r="E57" s="16">
        <v>75.5</v>
      </c>
      <c r="F57" s="16">
        <v>13</v>
      </c>
      <c r="G57" s="16">
        <v>1893.95</v>
      </c>
      <c r="H57" s="16">
        <v>2180.15</v>
      </c>
      <c r="I57" s="16">
        <v>1</v>
      </c>
      <c r="J57" s="16" t="s">
        <v>38</v>
      </c>
      <c r="K57" s="16">
        <v>65</v>
      </c>
      <c r="L57" s="16">
        <v>2377</v>
      </c>
      <c r="M57" s="16" t="s">
        <v>18</v>
      </c>
      <c r="N57" s="16" t="s">
        <v>29</v>
      </c>
      <c r="O57" s="16" t="s">
        <v>31</v>
      </c>
      <c r="P57" s="16" t="s">
        <v>21</v>
      </c>
      <c r="Q57" s="16">
        <v>4</v>
      </c>
      <c r="R57" s="16" t="s">
        <v>29</v>
      </c>
      <c r="S57" s="16" t="s">
        <v>30</v>
      </c>
      <c r="T57" s="16">
        <v>3</v>
      </c>
      <c r="U57" s="16" t="s">
        <v>38</v>
      </c>
      <c r="V57" s="4">
        <v>0</v>
      </c>
      <c r="W57" s="4">
        <v>0</v>
      </c>
      <c r="X57" s="8"/>
      <c r="Y57" s="3"/>
      <c r="Z57"/>
      <c r="AA57" s="3"/>
      <c r="AB57" s="2"/>
      <c r="AC57" s="3"/>
      <c r="AD57" s="20"/>
      <c r="AE57" s="11"/>
      <c r="AF57" s="10"/>
    </row>
    <row r="58" spans="1:32" x14ac:dyDescent="0.25">
      <c r="A58" s="15">
        <v>28</v>
      </c>
      <c r="B58" s="15" t="s">
        <v>47</v>
      </c>
      <c r="C58" s="13">
        <v>44091</v>
      </c>
      <c r="D58" s="11">
        <f t="shared" si="1"/>
        <v>44547</v>
      </c>
      <c r="E58" s="15">
        <v>75.3</v>
      </c>
      <c r="F58" s="15">
        <v>15</v>
      </c>
      <c r="G58" s="15">
        <v>75.3</v>
      </c>
      <c r="H58" s="15">
        <v>130.38999999999999</v>
      </c>
      <c r="I58" s="15">
        <v>2</v>
      </c>
      <c r="J58" s="15" t="s">
        <v>17</v>
      </c>
      <c r="K58" s="15">
        <v>67</v>
      </c>
      <c r="L58" s="15">
        <v>4902</v>
      </c>
      <c r="M58" s="15" t="s">
        <v>28</v>
      </c>
      <c r="N58" s="15" t="s">
        <v>22</v>
      </c>
      <c r="O58" s="15" t="s">
        <v>25</v>
      </c>
      <c r="P58" s="15" t="s">
        <v>21</v>
      </c>
      <c r="Q58" s="15">
        <v>3</v>
      </c>
      <c r="R58" s="15" t="s">
        <v>29</v>
      </c>
      <c r="S58" s="15" t="s">
        <v>30</v>
      </c>
      <c r="T58" s="15">
        <v>5</v>
      </c>
      <c r="U58" s="15" t="s">
        <v>38</v>
      </c>
      <c r="V58" s="4">
        <v>2</v>
      </c>
      <c r="W58" s="4">
        <v>1</v>
      </c>
      <c r="X58" s="8"/>
      <c r="Y58" s="3"/>
      <c r="Z58"/>
      <c r="AA58" s="3"/>
      <c r="AB58" s="2"/>
      <c r="AC58" s="3"/>
      <c r="AD58" s="20"/>
      <c r="AE58" s="11"/>
      <c r="AF58" s="10"/>
    </row>
    <row r="59" spans="1:32" x14ac:dyDescent="0.25">
      <c r="A59" s="16">
        <v>38</v>
      </c>
      <c r="B59" s="16" t="s">
        <v>47</v>
      </c>
      <c r="C59" s="14">
        <v>44198</v>
      </c>
      <c r="D59" s="11">
        <f t="shared" si="1"/>
        <v>44532</v>
      </c>
      <c r="E59" s="16">
        <v>43.3</v>
      </c>
      <c r="F59" s="16">
        <v>11</v>
      </c>
      <c r="G59" s="16">
        <v>43.3</v>
      </c>
      <c r="H59" s="16">
        <v>43.3</v>
      </c>
      <c r="I59" s="16">
        <v>3</v>
      </c>
      <c r="J59" s="16" t="s">
        <v>17</v>
      </c>
      <c r="K59" s="16">
        <v>91</v>
      </c>
      <c r="L59" s="16">
        <v>4972</v>
      </c>
      <c r="M59" s="16" t="s">
        <v>26</v>
      </c>
      <c r="N59" s="16" t="s">
        <v>19</v>
      </c>
      <c r="O59" s="16" t="s">
        <v>35</v>
      </c>
      <c r="P59" s="16" t="s">
        <v>21</v>
      </c>
      <c r="Q59" s="16">
        <v>1</v>
      </c>
      <c r="R59" s="16" t="s">
        <v>29</v>
      </c>
      <c r="S59" s="16" t="s">
        <v>30</v>
      </c>
      <c r="T59" s="16">
        <v>3</v>
      </c>
      <c r="U59" s="16" t="s">
        <v>38</v>
      </c>
      <c r="V59" s="4">
        <v>1</v>
      </c>
      <c r="W59" s="4">
        <v>1</v>
      </c>
      <c r="X59" s="8"/>
      <c r="Y59" s="3"/>
      <c r="Z59"/>
      <c r="AA59" s="3"/>
      <c r="AB59" s="2"/>
      <c r="AC59" s="3"/>
      <c r="AD59" s="20"/>
      <c r="AE59" s="11"/>
      <c r="AF59" s="10"/>
    </row>
    <row r="60" spans="1:32" x14ac:dyDescent="0.25">
      <c r="A60" s="15">
        <v>23</v>
      </c>
      <c r="B60" s="15" t="s">
        <v>51</v>
      </c>
      <c r="C60" s="13">
        <v>44453</v>
      </c>
      <c r="D60" s="11">
        <f t="shared" si="1"/>
        <v>44544</v>
      </c>
      <c r="E60" s="15">
        <v>79.099999999999994</v>
      </c>
      <c r="F60" s="15">
        <v>3</v>
      </c>
      <c r="G60" s="15">
        <v>79.099999999999994</v>
      </c>
      <c r="H60" s="15">
        <v>121.4</v>
      </c>
      <c r="I60" s="15">
        <v>3</v>
      </c>
      <c r="J60" s="15" t="s">
        <v>38</v>
      </c>
      <c r="K60" s="15">
        <v>92</v>
      </c>
      <c r="L60" s="15">
        <v>5001</v>
      </c>
      <c r="M60" s="15" t="s">
        <v>26</v>
      </c>
      <c r="N60" s="15" t="s">
        <v>19</v>
      </c>
      <c r="O60" s="15" t="s">
        <v>20</v>
      </c>
      <c r="P60" s="15" t="s">
        <v>21</v>
      </c>
      <c r="Q60" s="15">
        <v>2</v>
      </c>
      <c r="R60" s="15" t="s">
        <v>29</v>
      </c>
      <c r="S60" s="15" t="s">
        <v>32</v>
      </c>
      <c r="T60" s="15">
        <v>3</v>
      </c>
      <c r="U60" s="15" t="s">
        <v>38</v>
      </c>
      <c r="V60" s="4">
        <v>1</v>
      </c>
      <c r="W60" s="4">
        <v>0</v>
      </c>
      <c r="X60" s="8"/>
      <c r="Y60" s="3"/>
      <c r="Z60"/>
      <c r="AA60" s="3"/>
      <c r="AB60" s="2"/>
      <c r="AC60" s="3"/>
      <c r="AD60" s="20"/>
      <c r="AE60" s="11"/>
      <c r="AF60" s="10"/>
    </row>
    <row r="61" spans="1:32" x14ac:dyDescent="0.25">
      <c r="A61" s="16">
        <v>27</v>
      </c>
      <c r="B61" s="16" t="s">
        <v>52</v>
      </c>
      <c r="C61" s="14">
        <v>44312</v>
      </c>
      <c r="D61" s="11">
        <f t="shared" si="1"/>
        <v>44556</v>
      </c>
      <c r="E61" s="16">
        <v>95.25</v>
      </c>
      <c r="F61" s="16">
        <v>8</v>
      </c>
      <c r="G61" s="16">
        <v>5427.05</v>
      </c>
      <c r="H61" s="16">
        <v>8259.33</v>
      </c>
      <c r="I61" s="16">
        <v>2</v>
      </c>
      <c r="J61" s="16" t="s">
        <v>38</v>
      </c>
      <c r="K61" s="16">
        <v>86</v>
      </c>
      <c r="L61" s="16">
        <v>6259</v>
      </c>
      <c r="M61" s="16" t="s">
        <v>26</v>
      </c>
      <c r="N61" s="16" t="s">
        <v>19</v>
      </c>
      <c r="O61" s="16" t="s">
        <v>20</v>
      </c>
      <c r="P61" s="16" t="s">
        <v>21</v>
      </c>
      <c r="Q61" s="16">
        <v>4</v>
      </c>
      <c r="R61" s="16" t="s">
        <v>22</v>
      </c>
      <c r="S61" s="16" t="s">
        <v>23</v>
      </c>
      <c r="T61" s="16">
        <v>3</v>
      </c>
      <c r="U61" s="16" t="s">
        <v>17</v>
      </c>
      <c r="V61" s="4">
        <v>1</v>
      </c>
      <c r="W61" s="4">
        <v>0</v>
      </c>
      <c r="X61" s="8"/>
      <c r="Y61" s="3"/>
      <c r="Z61"/>
      <c r="AA61" s="3"/>
      <c r="AB61" s="2"/>
      <c r="AC61" s="3"/>
      <c r="AD61" s="20"/>
      <c r="AE61" s="11"/>
      <c r="AF61" s="10"/>
    </row>
    <row r="62" spans="1:32" x14ac:dyDescent="0.25">
      <c r="A62" s="15">
        <v>33</v>
      </c>
      <c r="B62" s="15" t="s">
        <v>53</v>
      </c>
      <c r="C62" s="13">
        <v>43929</v>
      </c>
      <c r="D62" s="11">
        <f t="shared" si="1"/>
        <v>44538</v>
      </c>
      <c r="E62" s="15">
        <v>90.45</v>
      </c>
      <c r="F62" s="15">
        <v>20</v>
      </c>
      <c r="G62" s="15">
        <v>1266.0999999999999</v>
      </c>
      <c r="H62" s="15">
        <v>1424.44</v>
      </c>
      <c r="I62" s="15">
        <v>3</v>
      </c>
      <c r="J62" s="15" t="s">
        <v>38</v>
      </c>
      <c r="K62" s="15">
        <v>96</v>
      </c>
      <c r="L62" s="15">
        <v>4777</v>
      </c>
      <c r="M62" s="15" t="s">
        <v>18</v>
      </c>
      <c r="N62" s="15" t="s">
        <v>29</v>
      </c>
      <c r="O62" s="15" t="s">
        <v>20</v>
      </c>
      <c r="P62" s="15" t="s">
        <v>21</v>
      </c>
      <c r="Q62" s="15">
        <v>5</v>
      </c>
      <c r="R62" s="15" t="s">
        <v>19</v>
      </c>
      <c r="S62" s="15" t="s">
        <v>23</v>
      </c>
      <c r="T62" s="15">
        <v>2</v>
      </c>
      <c r="U62" s="15" t="s">
        <v>38</v>
      </c>
      <c r="V62" s="4">
        <v>2</v>
      </c>
      <c r="W62" s="4">
        <v>0</v>
      </c>
      <c r="X62" s="8"/>
      <c r="Y62" s="3"/>
      <c r="Z62"/>
      <c r="AA62" s="3"/>
      <c r="AB62" s="2"/>
      <c r="AC62" s="3"/>
      <c r="AD62" s="20"/>
      <c r="AE62" s="11"/>
      <c r="AF62" s="10"/>
    </row>
    <row r="63" spans="1:32" x14ac:dyDescent="0.25">
      <c r="A63" s="16">
        <v>40</v>
      </c>
      <c r="B63" s="16" t="s">
        <v>48</v>
      </c>
      <c r="C63" s="14">
        <v>43868</v>
      </c>
      <c r="D63" s="11">
        <f t="shared" si="1"/>
        <v>44537</v>
      </c>
      <c r="E63" s="16">
        <v>83.05</v>
      </c>
      <c r="F63" s="16">
        <v>22</v>
      </c>
      <c r="G63" s="16">
        <v>1258.3</v>
      </c>
      <c r="H63" s="16">
        <v>2030.25</v>
      </c>
      <c r="I63" s="16">
        <v>3</v>
      </c>
      <c r="J63" s="16" t="s">
        <v>38</v>
      </c>
      <c r="K63" s="16">
        <v>70</v>
      </c>
      <c r="L63" s="16">
        <v>2596</v>
      </c>
      <c r="M63" s="16" t="s">
        <v>18</v>
      </c>
      <c r="N63" s="16" t="s">
        <v>29</v>
      </c>
      <c r="O63" s="16" t="s">
        <v>20</v>
      </c>
      <c r="P63" s="16" t="s">
        <v>34</v>
      </c>
      <c r="Q63" s="16">
        <v>1</v>
      </c>
      <c r="R63" s="16" t="s">
        <v>22</v>
      </c>
      <c r="S63" s="16" t="s">
        <v>30</v>
      </c>
      <c r="T63" s="16">
        <v>7</v>
      </c>
      <c r="U63" s="16" t="s">
        <v>38</v>
      </c>
      <c r="V63" s="4">
        <v>0</v>
      </c>
      <c r="W63" s="4">
        <v>0</v>
      </c>
      <c r="X63" s="8"/>
      <c r="Y63" s="3"/>
      <c r="Z63"/>
      <c r="AA63" s="3"/>
      <c r="AB63" s="2"/>
      <c r="AC63" s="3"/>
      <c r="AD63" s="20"/>
      <c r="AE63" s="11"/>
      <c r="AF63" s="10"/>
    </row>
    <row r="64" spans="1:32" x14ac:dyDescent="0.25">
      <c r="A64" s="15">
        <v>21</v>
      </c>
      <c r="B64" s="15" t="s">
        <v>50</v>
      </c>
      <c r="C64" s="13">
        <v>44066</v>
      </c>
      <c r="D64" s="11">
        <f t="shared" si="1"/>
        <v>44553</v>
      </c>
      <c r="E64" s="15">
        <v>76.099999999999994</v>
      </c>
      <c r="F64" s="15">
        <v>16</v>
      </c>
      <c r="G64" s="15">
        <v>1712.7</v>
      </c>
      <c r="H64" s="15">
        <v>2453.58</v>
      </c>
      <c r="I64" s="15">
        <v>2</v>
      </c>
      <c r="J64" s="15" t="s">
        <v>38</v>
      </c>
      <c r="K64" s="15">
        <v>91</v>
      </c>
      <c r="L64" s="15">
        <v>2018</v>
      </c>
      <c r="M64" s="15" t="s">
        <v>28</v>
      </c>
      <c r="N64" s="15" t="s">
        <v>29</v>
      </c>
      <c r="O64" s="15" t="s">
        <v>20</v>
      </c>
      <c r="P64" s="15" t="s">
        <v>21</v>
      </c>
      <c r="Q64" s="15">
        <v>5</v>
      </c>
      <c r="R64" s="15" t="s">
        <v>22</v>
      </c>
      <c r="S64" s="15" t="s">
        <v>32</v>
      </c>
      <c r="T64" s="15">
        <v>9</v>
      </c>
      <c r="U64" s="15" t="s">
        <v>17</v>
      </c>
      <c r="V64" s="4">
        <v>0</v>
      </c>
      <c r="W64" s="4">
        <v>0</v>
      </c>
      <c r="X64" s="8"/>
      <c r="Y64" s="3"/>
      <c r="Z64"/>
      <c r="AA64" s="3"/>
      <c r="AB64" s="2"/>
      <c r="AC64" s="3"/>
      <c r="AD64" s="20"/>
      <c r="AE64" s="11"/>
      <c r="AF64" s="10"/>
    </row>
    <row r="65" spans="1:32" x14ac:dyDescent="0.25">
      <c r="A65" s="16">
        <v>31</v>
      </c>
      <c r="B65" s="16" t="s">
        <v>51</v>
      </c>
      <c r="C65" s="14">
        <v>44337</v>
      </c>
      <c r="D65" s="11">
        <f t="shared" si="1"/>
        <v>44551</v>
      </c>
      <c r="E65" s="16">
        <v>91.3</v>
      </c>
      <c r="F65" s="16">
        <v>7</v>
      </c>
      <c r="G65" s="16">
        <v>91.3</v>
      </c>
      <c r="H65" s="16">
        <v>134.91</v>
      </c>
      <c r="I65" s="16">
        <v>3</v>
      </c>
      <c r="J65" s="16" t="s">
        <v>17</v>
      </c>
      <c r="K65" s="16">
        <v>71</v>
      </c>
      <c r="L65" s="16">
        <v>2371</v>
      </c>
      <c r="M65" s="16" t="s">
        <v>18</v>
      </c>
      <c r="N65" s="16" t="s">
        <v>19</v>
      </c>
      <c r="O65" s="16" t="s">
        <v>33</v>
      </c>
      <c r="P65" s="16" t="s">
        <v>21</v>
      </c>
      <c r="Q65" s="16">
        <v>1</v>
      </c>
      <c r="R65" s="16" t="s">
        <v>19</v>
      </c>
      <c r="S65" s="16" t="s">
        <v>30</v>
      </c>
      <c r="T65" s="16">
        <v>1</v>
      </c>
      <c r="U65" s="16" t="s">
        <v>38</v>
      </c>
      <c r="V65" s="4">
        <v>0</v>
      </c>
      <c r="W65" s="4">
        <v>1</v>
      </c>
      <c r="X65" s="8"/>
      <c r="Y65" s="3"/>
      <c r="Z65"/>
      <c r="AA65" s="3"/>
      <c r="AB65" s="2"/>
      <c r="AC65" s="3"/>
      <c r="AD65" s="20"/>
      <c r="AE65" s="11"/>
      <c r="AF65" s="10"/>
    </row>
    <row r="66" spans="1:32" x14ac:dyDescent="0.25">
      <c r="A66" s="15">
        <v>40</v>
      </c>
      <c r="B66" s="15" t="s">
        <v>46</v>
      </c>
      <c r="C66" s="13">
        <v>44121</v>
      </c>
      <c r="D66" s="11">
        <f t="shared" ref="D66:D97" si="2">EDATE(C66,F66)</f>
        <v>44547</v>
      </c>
      <c r="E66" s="15">
        <v>84.4</v>
      </c>
      <c r="F66" s="15">
        <v>14</v>
      </c>
      <c r="G66" s="15">
        <v>732.5</v>
      </c>
      <c r="H66" s="15">
        <v>1009.7</v>
      </c>
      <c r="I66" s="15">
        <v>2</v>
      </c>
      <c r="J66" s="15" t="s">
        <v>38</v>
      </c>
      <c r="K66" s="15">
        <v>83</v>
      </c>
      <c r="L66" s="15">
        <v>5745</v>
      </c>
      <c r="M66" s="15" t="s">
        <v>18</v>
      </c>
      <c r="N66" s="15" t="s">
        <v>19</v>
      </c>
      <c r="O66" s="15" t="s">
        <v>33</v>
      </c>
      <c r="P66" s="15" t="s">
        <v>34</v>
      </c>
      <c r="Q66" s="15">
        <v>5</v>
      </c>
      <c r="R66" s="15" t="s">
        <v>29</v>
      </c>
      <c r="S66" s="15" t="s">
        <v>27</v>
      </c>
      <c r="T66" s="15">
        <v>3</v>
      </c>
      <c r="U66" s="15" t="s">
        <v>17</v>
      </c>
      <c r="V66" s="4">
        <v>1</v>
      </c>
      <c r="W66" s="4">
        <v>0</v>
      </c>
      <c r="X66" s="8"/>
      <c r="Y66" s="3"/>
      <c r="Z66"/>
      <c r="AA66" s="3"/>
      <c r="AB66" s="2"/>
      <c r="AC66" s="3"/>
      <c r="AD66" s="20"/>
      <c r="AE66" s="11"/>
      <c r="AF66" s="10"/>
    </row>
    <row r="67" spans="1:32" x14ac:dyDescent="0.25">
      <c r="A67" s="16">
        <v>36</v>
      </c>
      <c r="B67" s="16" t="s">
        <v>48</v>
      </c>
      <c r="C67" s="14">
        <v>44276</v>
      </c>
      <c r="D67" s="11">
        <f t="shared" si="2"/>
        <v>44551</v>
      </c>
      <c r="E67" s="16">
        <v>95.6</v>
      </c>
      <c r="F67" s="16">
        <v>9</v>
      </c>
      <c r="G67" s="16">
        <v>644.35</v>
      </c>
      <c r="H67" s="16">
        <v>797.72</v>
      </c>
      <c r="I67" s="16">
        <v>3</v>
      </c>
      <c r="J67" s="16" t="s">
        <v>38</v>
      </c>
      <c r="K67" s="16">
        <v>83</v>
      </c>
      <c r="L67" s="16">
        <v>3265</v>
      </c>
      <c r="M67" s="16" t="s">
        <v>28</v>
      </c>
      <c r="N67" s="16" t="s">
        <v>22</v>
      </c>
      <c r="O67" s="16" t="s">
        <v>35</v>
      </c>
      <c r="P67" s="16" t="s">
        <v>21</v>
      </c>
      <c r="Q67" s="16">
        <v>3</v>
      </c>
      <c r="R67" s="16" t="s">
        <v>29</v>
      </c>
      <c r="S67" s="16" t="s">
        <v>30</v>
      </c>
      <c r="T67" s="16">
        <v>3</v>
      </c>
      <c r="U67" s="16" t="s">
        <v>38</v>
      </c>
      <c r="V67" s="4">
        <v>0</v>
      </c>
      <c r="W67" s="4">
        <v>0</v>
      </c>
      <c r="X67" s="8"/>
      <c r="Y67" s="3"/>
      <c r="Z67"/>
      <c r="AA67" s="3"/>
      <c r="AB67" s="2"/>
      <c r="AC67" s="3"/>
      <c r="AD67" s="20"/>
      <c r="AE67" s="11"/>
      <c r="AF67" s="10"/>
    </row>
    <row r="68" spans="1:32" x14ac:dyDescent="0.25">
      <c r="A68" s="15">
        <v>37</v>
      </c>
      <c r="B68" s="15" t="s">
        <v>49</v>
      </c>
      <c r="C68" s="13">
        <v>43877</v>
      </c>
      <c r="D68" s="11">
        <f t="shared" si="2"/>
        <v>44546</v>
      </c>
      <c r="E68" s="15">
        <v>91.7</v>
      </c>
      <c r="F68" s="15">
        <v>22</v>
      </c>
      <c r="G68" s="15">
        <v>2758.15</v>
      </c>
      <c r="H68" s="15">
        <v>4134.55</v>
      </c>
      <c r="I68" s="15">
        <v>1</v>
      </c>
      <c r="J68" s="15" t="s">
        <v>38</v>
      </c>
      <c r="K68" s="15">
        <v>90</v>
      </c>
      <c r="L68" s="15">
        <v>2482</v>
      </c>
      <c r="M68" s="15" t="s">
        <v>28</v>
      </c>
      <c r="N68" s="15" t="s">
        <v>29</v>
      </c>
      <c r="O68" s="15" t="s">
        <v>33</v>
      </c>
      <c r="P68" s="15" t="s">
        <v>21</v>
      </c>
      <c r="Q68" s="15">
        <v>2</v>
      </c>
      <c r="R68" s="15" t="s">
        <v>29</v>
      </c>
      <c r="S68" s="15" t="s">
        <v>30</v>
      </c>
      <c r="T68" s="15">
        <v>3</v>
      </c>
      <c r="U68" s="15" t="s">
        <v>17</v>
      </c>
      <c r="V68" s="4">
        <v>0</v>
      </c>
      <c r="W68" s="4">
        <v>0</v>
      </c>
      <c r="X68" s="8"/>
      <c r="Y68" s="3"/>
      <c r="Z68"/>
      <c r="AA68" s="3"/>
      <c r="AB68" s="2"/>
      <c r="AC68" s="3"/>
      <c r="AD68" s="20"/>
      <c r="AE68" s="11"/>
      <c r="AF68" s="10"/>
    </row>
    <row r="69" spans="1:32" x14ac:dyDescent="0.25">
      <c r="A69" s="16">
        <v>20</v>
      </c>
      <c r="B69" s="16" t="s">
        <v>50</v>
      </c>
      <c r="C69" s="14">
        <v>44313</v>
      </c>
      <c r="D69" s="11">
        <f t="shared" si="2"/>
        <v>44557</v>
      </c>
      <c r="E69" s="16">
        <v>45.1</v>
      </c>
      <c r="F69" s="16">
        <v>8</v>
      </c>
      <c r="G69" s="16">
        <v>45.1</v>
      </c>
      <c r="H69" s="16">
        <v>60.34</v>
      </c>
      <c r="I69" s="16">
        <v>1</v>
      </c>
      <c r="J69" s="16" t="s">
        <v>38</v>
      </c>
      <c r="K69" s="16">
        <v>70</v>
      </c>
      <c r="L69" s="16">
        <v>2740</v>
      </c>
      <c r="M69" s="16" t="s">
        <v>28</v>
      </c>
      <c r="N69" s="16" t="s">
        <v>19</v>
      </c>
      <c r="O69" s="16" t="s">
        <v>25</v>
      </c>
      <c r="P69" s="16" t="s">
        <v>34</v>
      </c>
      <c r="Q69" s="16">
        <v>4</v>
      </c>
      <c r="R69" s="16" t="s">
        <v>19</v>
      </c>
      <c r="S69" s="16" t="s">
        <v>30</v>
      </c>
      <c r="T69" s="16">
        <v>4</v>
      </c>
      <c r="U69" s="16" t="s">
        <v>38</v>
      </c>
      <c r="V69" s="4">
        <v>0</v>
      </c>
      <c r="W69" s="4">
        <v>0</v>
      </c>
      <c r="X69" s="8"/>
      <c r="Y69" s="3"/>
      <c r="Z69"/>
      <c r="AA69" s="3"/>
      <c r="AB69" s="2"/>
      <c r="AC69" s="3"/>
      <c r="AD69" s="20"/>
      <c r="AE69" s="11"/>
      <c r="AF69" s="10"/>
    </row>
    <row r="70" spans="1:32" x14ac:dyDescent="0.25">
      <c r="A70" s="15">
        <v>28</v>
      </c>
      <c r="B70" s="15" t="s">
        <v>53</v>
      </c>
      <c r="C70" s="13">
        <v>44504</v>
      </c>
      <c r="D70" s="11">
        <f t="shared" si="2"/>
        <v>44534</v>
      </c>
      <c r="E70" s="15">
        <v>89.5</v>
      </c>
      <c r="F70" s="15">
        <v>1</v>
      </c>
      <c r="G70" s="15">
        <v>161.5</v>
      </c>
      <c r="H70" s="15">
        <v>256.44</v>
      </c>
      <c r="I70" s="15">
        <v>2</v>
      </c>
      <c r="J70" s="15" t="s">
        <v>17</v>
      </c>
      <c r="K70" s="15">
        <v>80</v>
      </c>
      <c r="L70" s="15">
        <v>2065</v>
      </c>
      <c r="M70" s="15" t="s">
        <v>18</v>
      </c>
      <c r="N70" s="15" t="s">
        <v>19</v>
      </c>
      <c r="O70" s="15" t="s">
        <v>31</v>
      </c>
      <c r="P70" s="15" t="s">
        <v>21</v>
      </c>
      <c r="Q70" s="15">
        <v>3</v>
      </c>
      <c r="R70" s="15" t="s">
        <v>22</v>
      </c>
      <c r="S70" s="15" t="s">
        <v>27</v>
      </c>
      <c r="T70" s="15">
        <v>7</v>
      </c>
      <c r="U70" s="15" t="s">
        <v>17</v>
      </c>
      <c r="V70" s="4">
        <v>0</v>
      </c>
      <c r="W70" s="4">
        <v>1</v>
      </c>
      <c r="X70" s="8"/>
      <c r="Y70" s="3"/>
      <c r="Z70"/>
      <c r="AA70" s="3"/>
      <c r="AB70" s="2"/>
      <c r="AC70" s="3"/>
      <c r="AD70" s="20"/>
      <c r="AE70" s="11"/>
      <c r="AF70" s="10"/>
    </row>
    <row r="71" spans="1:32" x14ac:dyDescent="0.25">
      <c r="A71" s="16">
        <v>36</v>
      </c>
      <c r="B71" s="16" t="s">
        <v>47</v>
      </c>
      <c r="C71" s="14">
        <v>44359</v>
      </c>
      <c r="D71" s="11">
        <f t="shared" si="2"/>
        <v>44542</v>
      </c>
      <c r="E71" s="16">
        <v>113.2</v>
      </c>
      <c r="F71" s="16">
        <v>6</v>
      </c>
      <c r="G71" s="16">
        <v>4689.5</v>
      </c>
      <c r="H71" s="16">
        <v>5835.45</v>
      </c>
      <c r="I71" s="16">
        <v>1</v>
      </c>
      <c r="J71" s="16" t="s">
        <v>17</v>
      </c>
      <c r="K71" s="16">
        <v>89</v>
      </c>
      <c r="L71" s="16">
        <v>3380</v>
      </c>
      <c r="M71" s="16" t="s">
        <v>18</v>
      </c>
      <c r="N71" s="16" t="s">
        <v>22</v>
      </c>
      <c r="O71" s="16" t="s">
        <v>33</v>
      </c>
      <c r="P71" s="16" t="s">
        <v>21</v>
      </c>
      <c r="Q71" s="16">
        <v>3</v>
      </c>
      <c r="R71" s="16" t="s">
        <v>22</v>
      </c>
      <c r="S71" s="16" t="s">
        <v>23</v>
      </c>
      <c r="T71" s="16">
        <v>2</v>
      </c>
      <c r="U71" s="16" t="s">
        <v>17</v>
      </c>
      <c r="V71" s="4">
        <v>0</v>
      </c>
      <c r="W71" s="4">
        <v>1</v>
      </c>
      <c r="X71" s="8"/>
      <c r="Y71" s="3"/>
      <c r="Z71"/>
      <c r="AA71" s="3"/>
      <c r="AB71" s="2"/>
      <c r="AC71" s="3"/>
      <c r="AD71" s="20"/>
      <c r="AE71" s="11"/>
      <c r="AF71" s="10"/>
    </row>
    <row r="72" spans="1:32" x14ac:dyDescent="0.25">
      <c r="A72" s="15">
        <v>37</v>
      </c>
      <c r="B72" s="15" t="s">
        <v>49</v>
      </c>
      <c r="C72" s="13">
        <v>43948</v>
      </c>
      <c r="D72" s="11">
        <f t="shared" si="2"/>
        <v>44557</v>
      </c>
      <c r="E72" s="15">
        <v>94.25</v>
      </c>
      <c r="F72" s="15">
        <v>20</v>
      </c>
      <c r="G72" s="15">
        <v>1973.75</v>
      </c>
      <c r="H72" s="15">
        <v>2417.9</v>
      </c>
      <c r="I72" s="15">
        <v>2</v>
      </c>
      <c r="J72" s="15" t="s">
        <v>17</v>
      </c>
      <c r="K72" s="15">
        <v>73</v>
      </c>
      <c r="L72" s="15">
        <v>4819</v>
      </c>
      <c r="M72" s="15" t="s">
        <v>18</v>
      </c>
      <c r="N72" s="15" t="s">
        <v>22</v>
      </c>
      <c r="O72" s="15" t="s">
        <v>20</v>
      </c>
      <c r="P72" s="15" t="s">
        <v>21</v>
      </c>
      <c r="Q72" s="15">
        <v>5</v>
      </c>
      <c r="R72" s="15" t="s">
        <v>22</v>
      </c>
      <c r="S72" s="15" t="s">
        <v>30</v>
      </c>
      <c r="T72" s="15">
        <v>6</v>
      </c>
      <c r="U72" s="15" t="s">
        <v>38</v>
      </c>
      <c r="V72" s="4">
        <v>2</v>
      </c>
      <c r="W72" s="4">
        <v>1</v>
      </c>
      <c r="X72" s="8"/>
      <c r="Y72" s="3"/>
      <c r="Z72"/>
      <c r="AA72" s="3"/>
      <c r="AB72" s="2"/>
      <c r="AC72" s="3"/>
      <c r="AD72" s="20"/>
      <c r="AE72" s="11"/>
      <c r="AF72" s="10"/>
    </row>
    <row r="73" spans="1:32" x14ac:dyDescent="0.25">
      <c r="A73" s="16">
        <v>32</v>
      </c>
      <c r="B73" s="16" t="s">
        <v>45</v>
      </c>
      <c r="C73" s="14">
        <v>44338</v>
      </c>
      <c r="D73" s="11">
        <f t="shared" si="2"/>
        <v>44552</v>
      </c>
      <c r="E73" s="16">
        <v>99.8</v>
      </c>
      <c r="F73" s="16">
        <v>7</v>
      </c>
      <c r="G73" s="16">
        <v>442.85</v>
      </c>
      <c r="H73" s="16">
        <v>493.57000000000011</v>
      </c>
      <c r="I73" s="16">
        <v>1</v>
      </c>
      <c r="J73" s="16" t="s">
        <v>38</v>
      </c>
      <c r="K73" s="16">
        <v>89</v>
      </c>
      <c r="L73" s="16">
        <v>2268</v>
      </c>
      <c r="M73" s="16" t="s">
        <v>26</v>
      </c>
      <c r="N73" s="16" t="s">
        <v>22</v>
      </c>
      <c r="O73" s="16" t="s">
        <v>31</v>
      </c>
      <c r="P73" s="16" t="s">
        <v>21</v>
      </c>
      <c r="Q73" s="16">
        <v>3</v>
      </c>
      <c r="R73" s="16" t="s">
        <v>29</v>
      </c>
      <c r="S73" s="16" t="s">
        <v>23</v>
      </c>
      <c r="T73" s="16">
        <v>8</v>
      </c>
      <c r="U73" s="16" t="s">
        <v>17</v>
      </c>
      <c r="V73" s="4">
        <v>0</v>
      </c>
      <c r="W73" s="4">
        <v>0</v>
      </c>
      <c r="X73" s="8"/>
      <c r="Y73" s="3"/>
      <c r="Z73"/>
      <c r="AA73" s="3"/>
      <c r="AB73" s="2"/>
      <c r="AC73" s="3"/>
      <c r="AD73" s="20"/>
      <c r="AE73" s="11"/>
      <c r="AF73" s="10"/>
    </row>
    <row r="74" spans="1:32" x14ac:dyDescent="0.25">
      <c r="A74" s="15">
        <v>22</v>
      </c>
      <c r="B74" s="15" t="s">
        <v>47</v>
      </c>
      <c r="C74" s="13">
        <v>44160</v>
      </c>
      <c r="D74" s="11">
        <f t="shared" si="2"/>
        <v>44555</v>
      </c>
      <c r="E74" s="15">
        <v>75.2</v>
      </c>
      <c r="F74" s="15">
        <v>13</v>
      </c>
      <c r="G74" s="15">
        <v>1929.35</v>
      </c>
      <c r="H74" s="15">
        <v>2118.89</v>
      </c>
      <c r="I74" s="15">
        <v>1</v>
      </c>
      <c r="J74" s="15" t="s">
        <v>17</v>
      </c>
      <c r="K74" s="15">
        <v>91</v>
      </c>
      <c r="L74" s="15">
        <v>4517</v>
      </c>
      <c r="M74" s="15" t="s">
        <v>18</v>
      </c>
      <c r="N74" s="15" t="s">
        <v>22</v>
      </c>
      <c r="O74" s="15" t="s">
        <v>20</v>
      </c>
      <c r="P74" s="15" t="s">
        <v>34</v>
      </c>
      <c r="Q74" s="15">
        <v>4</v>
      </c>
      <c r="R74" s="15" t="s">
        <v>29</v>
      </c>
      <c r="S74" s="15" t="s">
        <v>30</v>
      </c>
      <c r="T74" s="15">
        <v>4</v>
      </c>
      <c r="U74" s="15" t="s">
        <v>17</v>
      </c>
      <c r="V74" s="4">
        <v>2</v>
      </c>
      <c r="W74" s="4">
        <v>1</v>
      </c>
      <c r="X74" s="8"/>
      <c r="Y74" s="3"/>
      <c r="Z74"/>
      <c r="AA74" s="3"/>
      <c r="AB74" s="2"/>
      <c r="AC74" s="3"/>
      <c r="AD74" s="20"/>
      <c r="AE74" s="11"/>
      <c r="AF74" s="10"/>
    </row>
    <row r="75" spans="1:32" x14ac:dyDescent="0.25">
      <c r="A75" s="16">
        <v>38</v>
      </c>
      <c r="B75" s="16" t="s">
        <v>45</v>
      </c>
      <c r="C75" s="14">
        <v>43941</v>
      </c>
      <c r="D75" s="11">
        <f t="shared" si="2"/>
        <v>44550</v>
      </c>
      <c r="E75" s="16">
        <v>104.75</v>
      </c>
      <c r="F75" s="16">
        <v>20</v>
      </c>
      <c r="G75" s="16">
        <v>5510.65</v>
      </c>
      <c r="H75" s="16">
        <v>7447.1299999999992</v>
      </c>
      <c r="I75" s="16">
        <v>3</v>
      </c>
      <c r="J75" s="16" t="s">
        <v>17</v>
      </c>
      <c r="K75" s="16">
        <v>93</v>
      </c>
      <c r="L75" s="16">
        <v>5605</v>
      </c>
      <c r="M75" s="16" t="s">
        <v>18</v>
      </c>
      <c r="N75" s="16" t="s">
        <v>29</v>
      </c>
      <c r="O75" s="16" t="s">
        <v>33</v>
      </c>
      <c r="P75" s="16" t="s">
        <v>21</v>
      </c>
      <c r="Q75" s="16">
        <v>1</v>
      </c>
      <c r="R75" s="16" t="s">
        <v>22</v>
      </c>
      <c r="S75" s="16" t="s">
        <v>23</v>
      </c>
      <c r="T75" s="16">
        <v>9</v>
      </c>
      <c r="U75" s="16" t="s">
        <v>38</v>
      </c>
      <c r="V75" s="4">
        <v>1</v>
      </c>
      <c r="W75" s="4">
        <v>1</v>
      </c>
      <c r="X75" s="8"/>
      <c r="Y75" s="3"/>
      <c r="Z75"/>
      <c r="AA75" s="3"/>
      <c r="AB75" s="2"/>
      <c r="AC75" s="3"/>
      <c r="AD75" s="20"/>
      <c r="AE75" s="11"/>
      <c r="AF75" s="10"/>
    </row>
    <row r="76" spans="1:32" x14ac:dyDescent="0.25">
      <c r="A76" s="15">
        <v>38</v>
      </c>
      <c r="B76" s="15" t="s">
        <v>47</v>
      </c>
      <c r="C76" s="13">
        <v>44388</v>
      </c>
      <c r="D76" s="11">
        <f t="shared" si="2"/>
        <v>44541</v>
      </c>
      <c r="E76" s="15">
        <v>57.15</v>
      </c>
      <c r="F76" s="15">
        <v>5</v>
      </c>
      <c r="G76" s="15">
        <v>2250.65</v>
      </c>
      <c r="H76" s="15">
        <v>3242.45</v>
      </c>
      <c r="I76" s="15">
        <v>1</v>
      </c>
      <c r="J76" s="15" t="s">
        <v>38</v>
      </c>
      <c r="K76" s="15">
        <v>75</v>
      </c>
      <c r="L76" s="15">
        <v>3110</v>
      </c>
      <c r="M76" s="15" t="s">
        <v>18</v>
      </c>
      <c r="N76" s="15" t="s">
        <v>19</v>
      </c>
      <c r="O76" s="15" t="s">
        <v>35</v>
      </c>
      <c r="P76" s="15" t="s">
        <v>21</v>
      </c>
      <c r="Q76" s="15">
        <v>3</v>
      </c>
      <c r="R76" s="15" t="s">
        <v>19</v>
      </c>
      <c r="S76" s="15" t="s">
        <v>27</v>
      </c>
      <c r="T76" s="15">
        <v>7</v>
      </c>
      <c r="U76" s="15" t="s">
        <v>38</v>
      </c>
      <c r="V76" s="4">
        <v>0</v>
      </c>
      <c r="W76" s="4">
        <v>0</v>
      </c>
      <c r="X76" s="8"/>
      <c r="Y76" s="3"/>
      <c r="Z76"/>
      <c r="AA76" s="3"/>
      <c r="AB76" s="2"/>
      <c r="AC76" s="3"/>
      <c r="AD76" s="20"/>
      <c r="AE76" s="11"/>
      <c r="AF76" s="10"/>
    </row>
    <row r="77" spans="1:32" x14ac:dyDescent="0.25">
      <c r="A77" s="16">
        <v>40</v>
      </c>
      <c r="B77" s="16" t="s">
        <v>45</v>
      </c>
      <c r="C77" s="14">
        <v>44066</v>
      </c>
      <c r="D77" s="11">
        <f t="shared" si="2"/>
        <v>44553</v>
      </c>
      <c r="E77" s="16">
        <v>45</v>
      </c>
      <c r="F77" s="16">
        <v>16</v>
      </c>
      <c r="G77" s="16">
        <v>127.1</v>
      </c>
      <c r="H77" s="16">
        <v>227.52</v>
      </c>
      <c r="I77" s="16">
        <v>3</v>
      </c>
      <c r="J77" s="16" t="s">
        <v>17</v>
      </c>
      <c r="K77" s="16">
        <v>77</v>
      </c>
      <c r="L77" s="16">
        <v>4145</v>
      </c>
      <c r="M77" s="16" t="s">
        <v>18</v>
      </c>
      <c r="N77" s="16" t="s">
        <v>29</v>
      </c>
      <c r="O77" s="16" t="s">
        <v>20</v>
      </c>
      <c r="P77" s="16" t="s">
        <v>21</v>
      </c>
      <c r="Q77" s="16">
        <v>1</v>
      </c>
      <c r="R77" s="16" t="s">
        <v>22</v>
      </c>
      <c r="S77" s="16" t="s">
        <v>32</v>
      </c>
      <c r="T77" s="16">
        <v>7</v>
      </c>
      <c r="U77" s="16" t="s">
        <v>38</v>
      </c>
      <c r="V77" s="4">
        <v>2</v>
      </c>
      <c r="W77" s="4">
        <v>1</v>
      </c>
      <c r="X77" s="8"/>
      <c r="Y77" s="3"/>
      <c r="Z77"/>
      <c r="AA77" s="3"/>
      <c r="AB77" s="2"/>
      <c r="AC77" s="3"/>
      <c r="AD77" s="20"/>
      <c r="AE77" s="11"/>
      <c r="AF77" s="10"/>
    </row>
    <row r="78" spans="1:32" x14ac:dyDescent="0.25">
      <c r="A78" s="15">
        <v>36</v>
      </c>
      <c r="B78" s="15" t="s">
        <v>52</v>
      </c>
      <c r="C78" s="13">
        <v>43969</v>
      </c>
      <c r="D78" s="11">
        <f t="shared" si="2"/>
        <v>44548</v>
      </c>
      <c r="E78" s="15">
        <v>96.15</v>
      </c>
      <c r="F78" s="15">
        <v>19</v>
      </c>
      <c r="G78" s="15">
        <v>1529.2</v>
      </c>
      <c r="H78" s="15">
        <v>2149.1999999999998</v>
      </c>
      <c r="I78" s="15">
        <v>2</v>
      </c>
      <c r="J78" s="15" t="s">
        <v>38</v>
      </c>
      <c r="K78" s="15">
        <v>96</v>
      </c>
      <c r="L78" s="15">
        <v>5913</v>
      </c>
      <c r="M78" s="15" t="s">
        <v>18</v>
      </c>
      <c r="N78" s="15" t="s">
        <v>29</v>
      </c>
      <c r="O78" s="15" t="s">
        <v>33</v>
      </c>
      <c r="P78" s="15" t="s">
        <v>21</v>
      </c>
      <c r="Q78" s="15">
        <v>4</v>
      </c>
      <c r="R78" s="15" t="s">
        <v>22</v>
      </c>
      <c r="S78" s="15" t="s">
        <v>23</v>
      </c>
      <c r="T78" s="15">
        <v>7</v>
      </c>
      <c r="U78" s="15" t="s">
        <v>17</v>
      </c>
      <c r="V78" s="4">
        <v>1</v>
      </c>
      <c r="W78" s="4">
        <v>0</v>
      </c>
      <c r="X78" s="8"/>
      <c r="Y78" s="3"/>
      <c r="Z78"/>
      <c r="AA78" s="3"/>
      <c r="AB78" s="2"/>
      <c r="AC78" s="3"/>
      <c r="AD78" s="20"/>
      <c r="AE78" s="11"/>
      <c r="AF78" s="10"/>
    </row>
    <row r="79" spans="1:32" x14ac:dyDescent="0.25">
      <c r="A79" s="16">
        <v>33</v>
      </c>
      <c r="B79" s="16" t="s">
        <v>51</v>
      </c>
      <c r="C79" s="14">
        <v>44447</v>
      </c>
      <c r="D79" s="11">
        <f t="shared" si="2"/>
        <v>44538</v>
      </c>
      <c r="E79" s="16">
        <v>80.599999999999994</v>
      </c>
      <c r="F79" s="16">
        <v>3</v>
      </c>
      <c r="G79" s="16">
        <v>2656.5</v>
      </c>
      <c r="H79" s="16">
        <v>3751.77</v>
      </c>
      <c r="I79" s="16">
        <v>2</v>
      </c>
      <c r="J79" s="16" t="s">
        <v>38</v>
      </c>
      <c r="K79" s="16">
        <v>72</v>
      </c>
      <c r="L79" s="16">
        <v>3601</v>
      </c>
      <c r="M79" s="16" t="s">
        <v>26</v>
      </c>
      <c r="N79" s="16" t="s">
        <v>22</v>
      </c>
      <c r="O79" s="16" t="s">
        <v>20</v>
      </c>
      <c r="P79" s="16" t="s">
        <v>34</v>
      </c>
      <c r="Q79" s="16">
        <v>2</v>
      </c>
      <c r="R79" s="16" t="s">
        <v>19</v>
      </c>
      <c r="S79" s="16" t="s">
        <v>32</v>
      </c>
      <c r="T79" s="16">
        <v>7</v>
      </c>
      <c r="U79" s="16" t="s">
        <v>38</v>
      </c>
      <c r="V79" s="4">
        <v>2</v>
      </c>
      <c r="W79" s="4">
        <v>0</v>
      </c>
      <c r="X79" s="8"/>
      <c r="Y79" s="3"/>
      <c r="Z79"/>
      <c r="AA79" s="3"/>
      <c r="AB79" s="2"/>
      <c r="AC79" s="3"/>
      <c r="AD79" s="20"/>
      <c r="AE79" s="11"/>
      <c r="AF79" s="10"/>
    </row>
    <row r="80" spans="1:32" x14ac:dyDescent="0.25">
      <c r="A80" s="15">
        <v>22</v>
      </c>
      <c r="B80" s="15" t="s">
        <v>51</v>
      </c>
      <c r="C80" s="13">
        <v>43962</v>
      </c>
      <c r="D80" s="11">
        <f t="shared" si="2"/>
        <v>44541</v>
      </c>
      <c r="E80" s="15">
        <v>95</v>
      </c>
      <c r="F80" s="15">
        <v>19</v>
      </c>
      <c r="G80" s="15">
        <v>1120.3</v>
      </c>
      <c r="H80" s="15">
        <v>1367.79</v>
      </c>
      <c r="I80" s="15">
        <v>1</v>
      </c>
      <c r="J80" s="15" t="s">
        <v>38</v>
      </c>
      <c r="K80" s="15">
        <v>85</v>
      </c>
      <c r="L80" s="15">
        <v>5980</v>
      </c>
      <c r="M80" s="15" t="s">
        <v>18</v>
      </c>
      <c r="N80" s="15" t="s">
        <v>22</v>
      </c>
      <c r="O80" s="15" t="s">
        <v>20</v>
      </c>
      <c r="P80" s="15" t="s">
        <v>21</v>
      </c>
      <c r="Q80" s="15">
        <v>2</v>
      </c>
      <c r="R80" s="15" t="s">
        <v>22</v>
      </c>
      <c r="S80" s="15" t="s">
        <v>27</v>
      </c>
      <c r="T80" s="15">
        <v>7</v>
      </c>
      <c r="U80" s="15" t="s">
        <v>17</v>
      </c>
      <c r="V80" s="4">
        <v>1</v>
      </c>
      <c r="W80" s="4">
        <v>0</v>
      </c>
      <c r="X80" s="8"/>
      <c r="Y80" s="3"/>
      <c r="Z80"/>
      <c r="AA80" s="3"/>
      <c r="AB80" s="2"/>
      <c r="AC80" s="3"/>
      <c r="AD80" s="20"/>
      <c r="AE80" s="11"/>
      <c r="AF80" s="10"/>
    </row>
    <row r="81" spans="1:32" x14ac:dyDescent="0.25">
      <c r="A81" s="16">
        <v>34</v>
      </c>
      <c r="B81" s="16" t="s">
        <v>48</v>
      </c>
      <c r="C81" s="14">
        <v>44546</v>
      </c>
      <c r="D81" s="11">
        <f t="shared" si="2"/>
        <v>44546</v>
      </c>
      <c r="E81" s="16">
        <v>70.45</v>
      </c>
      <c r="F81" s="16">
        <v>0</v>
      </c>
      <c r="G81" s="16">
        <v>70.45</v>
      </c>
      <c r="H81" s="16">
        <v>85.73</v>
      </c>
      <c r="I81" s="16">
        <v>2</v>
      </c>
      <c r="J81" s="16" t="s">
        <v>38</v>
      </c>
      <c r="K81" s="16">
        <v>76</v>
      </c>
      <c r="L81" s="16">
        <v>3964</v>
      </c>
      <c r="M81" s="16" t="s">
        <v>18</v>
      </c>
      <c r="N81" s="16" t="s">
        <v>29</v>
      </c>
      <c r="O81" s="16" t="s">
        <v>31</v>
      </c>
      <c r="P81" s="16" t="s">
        <v>21</v>
      </c>
      <c r="Q81" s="16">
        <v>5</v>
      </c>
      <c r="R81" s="16" t="s">
        <v>29</v>
      </c>
      <c r="S81" s="16" t="s">
        <v>32</v>
      </c>
      <c r="T81" s="16">
        <v>9</v>
      </c>
      <c r="U81" s="16" t="s">
        <v>38</v>
      </c>
      <c r="V81" s="4">
        <v>2</v>
      </c>
      <c r="W81" s="4">
        <v>0</v>
      </c>
      <c r="X81" s="8"/>
      <c r="Y81" s="3"/>
      <c r="Z81"/>
      <c r="AA81" s="3"/>
      <c r="AB81" s="2"/>
      <c r="AC81" s="3"/>
      <c r="AD81" s="20"/>
      <c r="AE81" s="11"/>
      <c r="AF81" s="10"/>
    </row>
    <row r="82" spans="1:32" x14ac:dyDescent="0.25">
      <c r="A82" s="15">
        <v>27</v>
      </c>
      <c r="B82" s="15" t="s">
        <v>49</v>
      </c>
      <c r="C82" s="13">
        <v>44546</v>
      </c>
      <c r="D82" s="11">
        <f t="shared" si="2"/>
        <v>44546</v>
      </c>
      <c r="E82" s="15">
        <v>78.849999999999994</v>
      </c>
      <c r="F82" s="15">
        <v>0</v>
      </c>
      <c r="G82" s="15">
        <v>292.8</v>
      </c>
      <c r="H82" s="15">
        <v>440.52</v>
      </c>
      <c r="I82" s="15">
        <v>3</v>
      </c>
      <c r="J82" s="15" t="s">
        <v>38</v>
      </c>
      <c r="K82" s="15">
        <v>72</v>
      </c>
      <c r="L82" s="15">
        <v>5301</v>
      </c>
      <c r="M82" s="15" t="s">
        <v>18</v>
      </c>
      <c r="N82" s="15" t="s">
        <v>29</v>
      </c>
      <c r="O82" s="15" t="s">
        <v>25</v>
      </c>
      <c r="P82" s="15" t="s">
        <v>21</v>
      </c>
      <c r="Q82" s="15">
        <v>2</v>
      </c>
      <c r="R82" s="15" t="s">
        <v>29</v>
      </c>
      <c r="S82" s="15" t="s">
        <v>23</v>
      </c>
      <c r="T82" s="15">
        <v>2</v>
      </c>
      <c r="U82" s="15" t="s">
        <v>38</v>
      </c>
      <c r="V82" s="4">
        <v>1</v>
      </c>
      <c r="W82" s="4">
        <v>0</v>
      </c>
      <c r="X82" s="8"/>
      <c r="Y82" s="3"/>
      <c r="Z82"/>
      <c r="AA82" s="3"/>
      <c r="AB82" s="2"/>
      <c r="AC82" s="3"/>
      <c r="AD82" s="20"/>
      <c r="AE82" s="11"/>
      <c r="AF82" s="10"/>
    </row>
    <row r="83" spans="1:32" x14ac:dyDescent="0.25">
      <c r="A83" s="16">
        <v>31</v>
      </c>
      <c r="B83" s="16" t="s">
        <v>50</v>
      </c>
      <c r="C83" s="14">
        <v>44281</v>
      </c>
      <c r="D83" s="11">
        <f t="shared" si="2"/>
        <v>44556</v>
      </c>
      <c r="E83" s="16">
        <v>72.849999999999994</v>
      </c>
      <c r="F83" s="16">
        <v>9</v>
      </c>
      <c r="G83" s="16">
        <v>688.65</v>
      </c>
      <c r="H83" s="16">
        <v>773.25</v>
      </c>
      <c r="I83" s="16">
        <v>1</v>
      </c>
      <c r="J83" s="16" t="s">
        <v>38</v>
      </c>
      <c r="K83" s="16">
        <v>91</v>
      </c>
      <c r="L83" s="16">
        <v>3189</v>
      </c>
      <c r="M83" s="16" t="s">
        <v>26</v>
      </c>
      <c r="N83" s="16" t="s">
        <v>19</v>
      </c>
      <c r="O83" s="16" t="s">
        <v>35</v>
      </c>
      <c r="P83" s="16" t="s">
        <v>21</v>
      </c>
      <c r="Q83" s="16">
        <v>4</v>
      </c>
      <c r="R83" s="16" t="s">
        <v>22</v>
      </c>
      <c r="S83" s="16" t="s">
        <v>32</v>
      </c>
      <c r="T83" s="16">
        <v>2</v>
      </c>
      <c r="U83" s="16" t="s">
        <v>17</v>
      </c>
      <c r="V83" s="4">
        <v>0</v>
      </c>
      <c r="W83" s="4">
        <v>0</v>
      </c>
      <c r="X83" s="8"/>
      <c r="Y83" s="3"/>
      <c r="Z83"/>
      <c r="AA83" s="3"/>
      <c r="AB83" s="2"/>
      <c r="AC83" s="3"/>
      <c r="AD83" s="20"/>
      <c r="AE83" s="11"/>
      <c r="AF83" s="10"/>
    </row>
    <row r="84" spans="1:32" x14ac:dyDescent="0.25">
      <c r="A84" s="15">
        <v>31</v>
      </c>
      <c r="B84" s="15" t="s">
        <v>47</v>
      </c>
      <c r="C84" s="13">
        <v>43891</v>
      </c>
      <c r="D84" s="11">
        <f t="shared" si="2"/>
        <v>44562</v>
      </c>
      <c r="E84" s="15">
        <v>94.55</v>
      </c>
      <c r="F84" s="15">
        <v>22</v>
      </c>
      <c r="G84" s="15">
        <v>3640.45</v>
      </c>
      <c r="H84" s="15">
        <v>5620.45</v>
      </c>
      <c r="I84" s="15">
        <v>1</v>
      </c>
      <c r="J84" s="15" t="s">
        <v>38</v>
      </c>
      <c r="K84" s="15">
        <v>95</v>
      </c>
      <c r="L84" s="15">
        <v>5676</v>
      </c>
      <c r="M84" s="15" t="s">
        <v>18</v>
      </c>
      <c r="N84" s="15" t="s">
        <v>22</v>
      </c>
      <c r="O84" s="15" t="s">
        <v>20</v>
      </c>
      <c r="P84" s="15" t="s">
        <v>21</v>
      </c>
      <c r="Q84" s="15">
        <v>4</v>
      </c>
      <c r="R84" s="15" t="s">
        <v>19</v>
      </c>
      <c r="S84" s="15" t="s">
        <v>27</v>
      </c>
      <c r="T84" s="15">
        <v>10</v>
      </c>
      <c r="U84" s="15" t="s">
        <v>17</v>
      </c>
      <c r="V84" s="4">
        <v>1</v>
      </c>
      <c r="W84" s="4">
        <v>0</v>
      </c>
      <c r="X84" s="8"/>
      <c r="Y84" s="3"/>
      <c r="Z84"/>
      <c r="AA84" s="3"/>
      <c r="AB84" s="2"/>
      <c r="AC84" s="3"/>
      <c r="AD84" s="20"/>
      <c r="AE84" s="11"/>
      <c r="AF84" s="10"/>
    </row>
    <row r="85" spans="1:32" x14ac:dyDescent="0.25">
      <c r="A85" s="16">
        <v>37</v>
      </c>
      <c r="B85" s="16" t="s">
        <v>53</v>
      </c>
      <c r="C85" s="14">
        <v>44242</v>
      </c>
      <c r="D85" s="11">
        <f t="shared" si="2"/>
        <v>44545</v>
      </c>
      <c r="E85" s="16">
        <v>86.6</v>
      </c>
      <c r="F85" s="16">
        <v>10</v>
      </c>
      <c r="G85" s="16">
        <v>1281</v>
      </c>
      <c r="H85" s="16">
        <v>1587.88</v>
      </c>
      <c r="I85" s="16">
        <v>3</v>
      </c>
      <c r="J85" s="16" t="s">
        <v>38</v>
      </c>
      <c r="K85" s="16">
        <v>81</v>
      </c>
      <c r="L85" s="16">
        <v>2508</v>
      </c>
      <c r="M85" s="16" t="s">
        <v>18</v>
      </c>
      <c r="N85" s="16" t="s">
        <v>19</v>
      </c>
      <c r="O85" s="16" t="s">
        <v>25</v>
      </c>
      <c r="P85" s="16" t="s">
        <v>21</v>
      </c>
      <c r="Q85" s="16">
        <v>3</v>
      </c>
      <c r="R85" s="16" t="s">
        <v>29</v>
      </c>
      <c r="S85" s="16" t="s">
        <v>27</v>
      </c>
      <c r="T85" s="16">
        <v>6</v>
      </c>
      <c r="U85" s="16" t="s">
        <v>38</v>
      </c>
      <c r="V85" s="4">
        <v>0</v>
      </c>
      <c r="W85" s="4">
        <v>0</v>
      </c>
      <c r="X85" s="8"/>
      <c r="Y85" s="3"/>
      <c r="Z85"/>
      <c r="AA85" s="3"/>
      <c r="AB85" s="2"/>
      <c r="AC85" s="3"/>
      <c r="AD85" s="20"/>
      <c r="AE85" s="11"/>
      <c r="AF85" s="10"/>
    </row>
    <row r="86" spans="1:32" x14ac:dyDescent="0.25">
      <c r="A86" s="15">
        <v>25</v>
      </c>
      <c r="B86" s="15" t="s">
        <v>48</v>
      </c>
      <c r="C86" s="13">
        <v>44271</v>
      </c>
      <c r="D86" s="11">
        <f t="shared" si="2"/>
        <v>44546</v>
      </c>
      <c r="E86" s="15">
        <v>93.85</v>
      </c>
      <c r="F86" s="15">
        <v>9</v>
      </c>
      <c r="G86" s="15">
        <v>170.85</v>
      </c>
      <c r="H86" s="15">
        <v>209.39</v>
      </c>
      <c r="I86" s="15">
        <v>3</v>
      </c>
      <c r="J86" s="15" t="s">
        <v>38</v>
      </c>
      <c r="K86" s="15">
        <v>72</v>
      </c>
      <c r="L86" s="15">
        <v>4193</v>
      </c>
      <c r="M86" s="15" t="s">
        <v>18</v>
      </c>
      <c r="N86" s="15" t="s">
        <v>22</v>
      </c>
      <c r="O86" s="15" t="s">
        <v>35</v>
      </c>
      <c r="P86" s="15" t="s">
        <v>21</v>
      </c>
      <c r="Q86" s="15">
        <v>5</v>
      </c>
      <c r="R86" s="15" t="s">
        <v>19</v>
      </c>
      <c r="S86" s="15" t="s">
        <v>32</v>
      </c>
      <c r="T86" s="15">
        <v>2</v>
      </c>
      <c r="U86" s="15" t="s">
        <v>38</v>
      </c>
      <c r="V86" s="4">
        <v>2</v>
      </c>
      <c r="W86" s="4">
        <v>0</v>
      </c>
      <c r="X86" s="8"/>
      <c r="Y86" s="3"/>
      <c r="Z86"/>
      <c r="AA86" s="3"/>
      <c r="AB86" s="2"/>
      <c r="AC86" s="3"/>
      <c r="AD86" s="20"/>
      <c r="AE86" s="11"/>
      <c r="AF86" s="10"/>
    </row>
    <row r="87" spans="1:32" x14ac:dyDescent="0.25">
      <c r="A87" s="16">
        <v>22</v>
      </c>
      <c r="B87" s="16" t="s">
        <v>51</v>
      </c>
      <c r="C87" s="14">
        <v>44150</v>
      </c>
      <c r="D87" s="11">
        <f t="shared" si="2"/>
        <v>44545</v>
      </c>
      <c r="E87" s="16">
        <v>93.55</v>
      </c>
      <c r="F87" s="16">
        <v>13</v>
      </c>
      <c r="G87" s="16">
        <v>93.55</v>
      </c>
      <c r="H87" s="16">
        <v>123.72</v>
      </c>
      <c r="I87" s="16">
        <v>1</v>
      </c>
      <c r="J87" s="16" t="s">
        <v>38</v>
      </c>
      <c r="K87" s="16">
        <v>81</v>
      </c>
      <c r="L87" s="16">
        <v>5536</v>
      </c>
      <c r="M87" s="16" t="s">
        <v>18</v>
      </c>
      <c r="N87" s="16" t="s">
        <v>29</v>
      </c>
      <c r="O87" s="16" t="s">
        <v>31</v>
      </c>
      <c r="P87" s="16" t="s">
        <v>21</v>
      </c>
      <c r="Q87" s="16">
        <v>2</v>
      </c>
      <c r="R87" s="16" t="s">
        <v>29</v>
      </c>
      <c r="S87" s="16" t="s">
        <v>30</v>
      </c>
      <c r="T87" s="16">
        <v>6</v>
      </c>
      <c r="U87" s="16" t="s">
        <v>17</v>
      </c>
      <c r="V87" s="4">
        <v>1</v>
      </c>
      <c r="W87" s="4">
        <v>0</v>
      </c>
      <c r="X87" s="8"/>
      <c r="Y87" s="3"/>
      <c r="Z87"/>
      <c r="AA87" s="3"/>
      <c r="AB87" s="2"/>
      <c r="AC87" s="3"/>
      <c r="AD87" s="20"/>
      <c r="AE87" s="11"/>
      <c r="AF87" s="10"/>
    </row>
    <row r="88" spans="1:32" x14ac:dyDescent="0.25">
      <c r="A88" s="15">
        <v>25</v>
      </c>
      <c r="B88" s="15" t="s">
        <v>46</v>
      </c>
      <c r="C88" s="13">
        <v>44075</v>
      </c>
      <c r="D88" s="11">
        <f t="shared" si="2"/>
        <v>44562</v>
      </c>
      <c r="E88" s="15">
        <v>88.2</v>
      </c>
      <c r="F88" s="15">
        <v>16</v>
      </c>
      <c r="G88" s="15">
        <v>1775.8</v>
      </c>
      <c r="H88" s="15">
        <v>2535.23</v>
      </c>
      <c r="I88" s="15">
        <v>1</v>
      </c>
      <c r="J88" s="15" t="s">
        <v>38</v>
      </c>
      <c r="K88" s="15">
        <v>69</v>
      </c>
      <c r="L88" s="15">
        <v>5683</v>
      </c>
      <c r="M88" s="15" t="s">
        <v>28</v>
      </c>
      <c r="N88" s="15" t="s">
        <v>22</v>
      </c>
      <c r="O88" s="15" t="s">
        <v>20</v>
      </c>
      <c r="P88" s="15" t="s">
        <v>21</v>
      </c>
      <c r="Q88" s="15">
        <v>2</v>
      </c>
      <c r="R88" s="15" t="s">
        <v>19</v>
      </c>
      <c r="S88" s="15" t="s">
        <v>27</v>
      </c>
      <c r="T88" s="15">
        <v>4</v>
      </c>
      <c r="U88" s="15" t="s">
        <v>38</v>
      </c>
      <c r="V88" s="4">
        <v>1</v>
      </c>
      <c r="W88" s="4">
        <v>0</v>
      </c>
      <c r="X88" s="8"/>
      <c r="Y88" s="3"/>
      <c r="Z88"/>
      <c r="AA88" s="3"/>
      <c r="AB88" s="2"/>
      <c r="AC88" s="3"/>
      <c r="AD88" s="20"/>
      <c r="AE88" s="11"/>
      <c r="AF88" s="10"/>
    </row>
    <row r="89" spans="1:32" x14ac:dyDescent="0.25">
      <c r="A89" s="16">
        <v>27</v>
      </c>
      <c r="B89" s="16" t="s">
        <v>49</v>
      </c>
      <c r="C89" s="14">
        <v>43892</v>
      </c>
      <c r="D89" s="11">
        <f t="shared" si="2"/>
        <v>44532</v>
      </c>
      <c r="E89" s="16">
        <v>74.5</v>
      </c>
      <c r="F89" s="16">
        <v>21</v>
      </c>
      <c r="G89" s="16">
        <v>606.54999999999995</v>
      </c>
      <c r="H89" s="16">
        <v>620.79</v>
      </c>
      <c r="I89" s="16">
        <v>2</v>
      </c>
      <c r="J89" s="16" t="s">
        <v>38</v>
      </c>
      <c r="K89" s="16">
        <v>80</v>
      </c>
      <c r="L89" s="16">
        <v>4345</v>
      </c>
      <c r="M89" s="16" t="s">
        <v>18</v>
      </c>
      <c r="N89" s="16" t="s">
        <v>29</v>
      </c>
      <c r="O89" s="16" t="s">
        <v>35</v>
      </c>
      <c r="P89" s="16" t="s">
        <v>34</v>
      </c>
      <c r="Q89" s="16">
        <v>3</v>
      </c>
      <c r="R89" s="16" t="s">
        <v>29</v>
      </c>
      <c r="S89" s="16" t="s">
        <v>27</v>
      </c>
      <c r="T89" s="16">
        <v>8</v>
      </c>
      <c r="U89" s="16" t="s">
        <v>17</v>
      </c>
      <c r="V89" s="4">
        <v>2</v>
      </c>
      <c r="W89" s="4">
        <v>0</v>
      </c>
      <c r="X89" s="8"/>
      <c r="Y89" s="3"/>
      <c r="Z89"/>
      <c r="AA89" s="3"/>
      <c r="AB89" s="2"/>
      <c r="AC89" s="3"/>
      <c r="AD89" s="20"/>
      <c r="AE89" s="11"/>
      <c r="AF89" s="10"/>
    </row>
    <row r="90" spans="1:32" x14ac:dyDescent="0.25">
      <c r="A90" s="15">
        <v>24</v>
      </c>
      <c r="B90" s="15" t="s">
        <v>50</v>
      </c>
      <c r="C90" s="13">
        <v>44175</v>
      </c>
      <c r="D90" s="11">
        <f t="shared" si="2"/>
        <v>44540</v>
      </c>
      <c r="E90" s="15">
        <v>73.650000000000006</v>
      </c>
      <c r="F90" s="15">
        <v>12</v>
      </c>
      <c r="G90" s="15">
        <v>1463.5</v>
      </c>
      <c r="H90" s="15">
        <v>1570.9</v>
      </c>
      <c r="I90" s="15">
        <v>1</v>
      </c>
      <c r="J90" s="15" t="s">
        <v>38</v>
      </c>
      <c r="K90" s="15">
        <v>95</v>
      </c>
      <c r="L90" s="15">
        <v>5849</v>
      </c>
      <c r="M90" s="15" t="s">
        <v>26</v>
      </c>
      <c r="N90" s="15" t="s">
        <v>19</v>
      </c>
      <c r="O90" s="15" t="s">
        <v>33</v>
      </c>
      <c r="P90" s="15" t="s">
        <v>21</v>
      </c>
      <c r="Q90" s="15">
        <v>1</v>
      </c>
      <c r="R90" s="15" t="s">
        <v>29</v>
      </c>
      <c r="S90" s="15" t="s">
        <v>32</v>
      </c>
      <c r="T90" s="15">
        <v>3</v>
      </c>
      <c r="U90" s="15" t="s">
        <v>17</v>
      </c>
      <c r="V90" s="4">
        <v>1</v>
      </c>
      <c r="W90" s="4">
        <v>0</v>
      </c>
      <c r="X90" s="8"/>
      <c r="Y90" s="3"/>
      <c r="Z90"/>
      <c r="AA90" s="3"/>
      <c r="AB90" s="2"/>
      <c r="AC90" s="3"/>
      <c r="AD90" s="20"/>
      <c r="AE90" s="11"/>
      <c r="AF90" s="10"/>
    </row>
    <row r="91" spans="1:32" x14ac:dyDescent="0.25">
      <c r="A91" s="16">
        <v>20</v>
      </c>
      <c r="B91" s="16" t="s">
        <v>48</v>
      </c>
      <c r="C91" s="14">
        <v>44462</v>
      </c>
      <c r="D91" s="11">
        <f t="shared" si="2"/>
        <v>44553</v>
      </c>
      <c r="E91" s="16">
        <v>41.15</v>
      </c>
      <c r="F91" s="16">
        <v>3</v>
      </c>
      <c r="G91" s="16">
        <v>132.19999999999999</v>
      </c>
      <c r="H91" s="16">
        <v>132.19999999999999</v>
      </c>
      <c r="I91" s="16">
        <v>2</v>
      </c>
      <c r="J91" s="16" t="s">
        <v>17</v>
      </c>
      <c r="K91" s="16">
        <v>96</v>
      </c>
      <c r="L91" s="16">
        <v>2314</v>
      </c>
      <c r="M91" s="16" t="s">
        <v>18</v>
      </c>
      <c r="N91" s="16" t="s">
        <v>22</v>
      </c>
      <c r="O91" s="16" t="s">
        <v>20</v>
      </c>
      <c r="P91" s="16" t="s">
        <v>21</v>
      </c>
      <c r="Q91" s="16">
        <v>5</v>
      </c>
      <c r="R91" s="16" t="s">
        <v>19</v>
      </c>
      <c r="S91" s="16" t="s">
        <v>23</v>
      </c>
      <c r="T91" s="16">
        <v>1</v>
      </c>
      <c r="U91" s="16" t="s">
        <v>17</v>
      </c>
      <c r="V91" s="4">
        <v>0</v>
      </c>
      <c r="W91" s="4">
        <v>1</v>
      </c>
      <c r="X91" s="8"/>
      <c r="Y91" s="3"/>
      <c r="Z91"/>
      <c r="AA91" s="3"/>
      <c r="AB91" s="2"/>
      <c r="AC91" s="3"/>
      <c r="AD91" s="20"/>
      <c r="AE91" s="11"/>
      <c r="AF91" s="10"/>
    </row>
    <row r="92" spans="1:32" x14ac:dyDescent="0.25">
      <c r="A92" s="15">
        <v>36</v>
      </c>
      <c r="B92" s="15" t="s">
        <v>49</v>
      </c>
      <c r="C92" s="13">
        <v>44519</v>
      </c>
      <c r="D92" s="11">
        <f t="shared" si="2"/>
        <v>44549</v>
      </c>
      <c r="E92" s="15">
        <v>96.8</v>
      </c>
      <c r="F92" s="15">
        <v>1</v>
      </c>
      <c r="G92" s="15">
        <v>2030.3</v>
      </c>
      <c r="H92" s="15">
        <v>2907.77</v>
      </c>
      <c r="I92" s="15">
        <v>1</v>
      </c>
      <c r="J92" s="15" t="s">
        <v>38</v>
      </c>
      <c r="K92" s="15">
        <v>87</v>
      </c>
      <c r="L92" s="15">
        <v>4317</v>
      </c>
      <c r="M92" s="15" t="s">
        <v>26</v>
      </c>
      <c r="N92" s="15" t="s">
        <v>19</v>
      </c>
      <c r="O92" s="15" t="s">
        <v>35</v>
      </c>
      <c r="P92" s="15" t="s">
        <v>34</v>
      </c>
      <c r="Q92" s="15">
        <v>3</v>
      </c>
      <c r="R92" s="15" t="s">
        <v>22</v>
      </c>
      <c r="S92" s="15" t="s">
        <v>27</v>
      </c>
      <c r="T92" s="15">
        <v>4</v>
      </c>
      <c r="U92" s="15" t="s">
        <v>17</v>
      </c>
      <c r="V92" s="4">
        <v>2</v>
      </c>
      <c r="W92" s="4">
        <v>0</v>
      </c>
      <c r="X92" s="8"/>
      <c r="Y92" s="3"/>
      <c r="Z92"/>
      <c r="AA92" s="3"/>
      <c r="AB92" s="2"/>
      <c r="AC92" s="3"/>
      <c r="AD92" s="20"/>
      <c r="AE92" s="11"/>
      <c r="AF92" s="10"/>
    </row>
    <row r="93" spans="1:32" x14ac:dyDescent="0.25">
      <c r="A93" s="16">
        <v>33</v>
      </c>
      <c r="B93" s="16" t="s">
        <v>52</v>
      </c>
      <c r="C93" s="14">
        <v>44450</v>
      </c>
      <c r="D93" s="11">
        <f t="shared" si="2"/>
        <v>44541</v>
      </c>
      <c r="E93" s="16">
        <v>30.75</v>
      </c>
      <c r="F93" s="16">
        <v>3</v>
      </c>
      <c r="G93" s="16">
        <v>805.1</v>
      </c>
      <c r="H93" s="16">
        <v>945.1</v>
      </c>
      <c r="I93" s="16">
        <v>1</v>
      </c>
      <c r="J93" s="16" t="s">
        <v>17</v>
      </c>
      <c r="K93" s="16">
        <v>91</v>
      </c>
      <c r="L93" s="16">
        <v>2927</v>
      </c>
      <c r="M93" s="16" t="s">
        <v>18</v>
      </c>
      <c r="N93" s="16" t="s">
        <v>29</v>
      </c>
      <c r="O93" s="16" t="s">
        <v>25</v>
      </c>
      <c r="P93" s="16" t="s">
        <v>21</v>
      </c>
      <c r="Q93" s="16">
        <v>2</v>
      </c>
      <c r="R93" s="16" t="s">
        <v>19</v>
      </c>
      <c r="S93" s="16" t="s">
        <v>27</v>
      </c>
      <c r="T93" s="16">
        <v>1</v>
      </c>
      <c r="U93" s="16" t="s">
        <v>17</v>
      </c>
      <c r="V93" s="4">
        <v>0</v>
      </c>
      <c r="W93" s="4">
        <v>1</v>
      </c>
      <c r="X93" s="8"/>
      <c r="Y93" s="3"/>
      <c r="Z93"/>
      <c r="AA93" s="3"/>
      <c r="AB93" s="2"/>
      <c r="AC93" s="3"/>
      <c r="AD93" s="20"/>
      <c r="AE93" s="11"/>
      <c r="AF93" s="10"/>
    </row>
    <row r="94" spans="1:32" x14ac:dyDescent="0.25">
      <c r="A94" s="15">
        <v>22</v>
      </c>
      <c r="B94" s="15" t="s">
        <v>46</v>
      </c>
      <c r="C94" s="13">
        <v>44027</v>
      </c>
      <c r="D94" s="11">
        <f t="shared" si="2"/>
        <v>44545</v>
      </c>
      <c r="E94" s="15">
        <v>89.2</v>
      </c>
      <c r="F94" s="15">
        <v>17</v>
      </c>
      <c r="G94" s="15">
        <v>346.2</v>
      </c>
      <c r="H94" s="15">
        <v>539.6</v>
      </c>
      <c r="I94" s="15">
        <v>1</v>
      </c>
      <c r="J94" s="15" t="s">
        <v>17</v>
      </c>
      <c r="K94" s="15">
        <v>74</v>
      </c>
      <c r="L94" s="15">
        <v>5808</v>
      </c>
      <c r="M94" s="15" t="s">
        <v>24</v>
      </c>
      <c r="N94" s="15" t="s">
        <v>22</v>
      </c>
      <c r="O94" s="15" t="s">
        <v>20</v>
      </c>
      <c r="P94" s="15" t="s">
        <v>34</v>
      </c>
      <c r="Q94" s="15">
        <v>5</v>
      </c>
      <c r="R94" s="15" t="s">
        <v>29</v>
      </c>
      <c r="S94" s="15" t="s">
        <v>30</v>
      </c>
      <c r="T94" s="15">
        <v>9</v>
      </c>
      <c r="U94" s="15" t="s">
        <v>38</v>
      </c>
      <c r="V94" s="4">
        <v>1</v>
      </c>
      <c r="W94" s="4">
        <v>1</v>
      </c>
      <c r="X94" s="8"/>
      <c r="Y94" s="3"/>
      <c r="Z94"/>
      <c r="AA94" s="3"/>
      <c r="AB94" s="2"/>
      <c r="AC94" s="3"/>
      <c r="AD94" s="20"/>
      <c r="AE94" s="11"/>
      <c r="AF94" s="10"/>
    </row>
    <row r="95" spans="1:32" x14ac:dyDescent="0.25">
      <c r="A95" s="16">
        <v>36</v>
      </c>
      <c r="B95" s="16" t="s">
        <v>44</v>
      </c>
      <c r="C95" s="14">
        <v>44006</v>
      </c>
      <c r="D95" s="11">
        <f t="shared" si="2"/>
        <v>44554</v>
      </c>
      <c r="E95" s="16">
        <v>39.65</v>
      </c>
      <c r="F95" s="16">
        <v>18</v>
      </c>
      <c r="G95" s="16">
        <v>39.65</v>
      </c>
      <c r="H95" s="16">
        <v>59.65</v>
      </c>
      <c r="I95" s="16">
        <v>3</v>
      </c>
      <c r="J95" s="16" t="s">
        <v>38</v>
      </c>
      <c r="K95" s="16">
        <v>91</v>
      </c>
      <c r="L95" s="16">
        <v>5433</v>
      </c>
      <c r="M95" s="16" t="s">
        <v>18</v>
      </c>
      <c r="N95" s="16" t="s">
        <v>19</v>
      </c>
      <c r="O95" s="16" t="s">
        <v>20</v>
      </c>
      <c r="P95" s="16" t="s">
        <v>21</v>
      </c>
      <c r="Q95" s="16">
        <v>4</v>
      </c>
      <c r="R95" s="16" t="s">
        <v>22</v>
      </c>
      <c r="S95" s="16" t="s">
        <v>23</v>
      </c>
      <c r="T95" s="16">
        <v>9</v>
      </c>
      <c r="U95" s="16" t="s">
        <v>38</v>
      </c>
      <c r="V95" s="4">
        <v>1</v>
      </c>
      <c r="W95" s="4">
        <v>0</v>
      </c>
      <c r="X95" s="8"/>
      <c r="Y95" s="3"/>
      <c r="Z95"/>
      <c r="AA95" s="3"/>
      <c r="AB95" s="2"/>
      <c r="AC95" s="3"/>
      <c r="AD95" s="20"/>
      <c r="AE95" s="11"/>
      <c r="AF95" s="10"/>
    </row>
    <row r="96" spans="1:32" x14ac:dyDescent="0.25">
      <c r="A96" s="15">
        <v>29</v>
      </c>
      <c r="B96" s="15" t="s">
        <v>48</v>
      </c>
      <c r="C96" s="13">
        <v>44062</v>
      </c>
      <c r="D96" s="11">
        <f t="shared" si="2"/>
        <v>44549</v>
      </c>
      <c r="E96" s="15">
        <v>45.1</v>
      </c>
      <c r="F96" s="15">
        <v>16</v>
      </c>
      <c r="G96" s="15">
        <v>45.1</v>
      </c>
      <c r="H96" s="15">
        <v>60.38</v>
      </c>
      <c r="I96" s="15">
        <v>2</v>
      </c>
      <c r="J96" s="15" t="s">
        <v>17</v>
      </c>
      <c r="K96" s="15">
        <v>79</v>
      </c>
      <c r="L96" s="15">
        <v>4499</v>
      </c>
      <c r="M96" s="15" t="s">
        <v>26</v>
      </c>
      <c r="N96" s="15" t="s">
        <v>22</v>
      </c>
      <c r="O96" s="15" t="s">
        <v>25</v>
      </c>
      <c r="P96" s="15" t="s">
        <v>21</v>
      </c>
      <c r="Q96" s="15">
        <v>1</v>
      </c>
      <c r="R96" s="15" t="s">
        <v>19</v>
      </c>
      <c r="S96" s="15" t="s">
        <v>27</v>
      </c>
      <c r="T96" s="15">
        <v>2</v>
      </c>
      <c r="U96" s="15" t="s">
        <v>38</v>
      </c>
      <c r="V96" s="4">
        <v>2</v>
      </c>
      <c r="W96" s="4">
        <v>1</v>
      </c>
      <c r="X96" s="8"/>
      <c r="Y96" s="3"/>
      <c r="Z96"/>
      <c r="AA96" s="3"/>
      <c r="AB96" s="2"/>
      <c r="AC96" s="3"/>
      <c r="AD96" s="20"/>
      <c r="AE96" s="11"/>
      <c r="AF96" s="10"/>
    </row>
    <row r="97" spans="1:32" x14ac:dyDescent="0.25">
      <c r="A97" s="16">
        <v>35</v>
      </c>
      <c r="B97" s="16" t="s">
        <v>47</v>
      </c>
      <c r="C97" s="14">
        <v>44496</v>
      </c>
      <c r="D97" s="11">
        <f t="shared" si="2"/>
        <v>44557</v>
      </c>
      <c r="E97" s="16">
        <v>80.45</v>
      </c>
      <c r="F97" s="16">
        <v>2</v>
      </c>
      <c r="G97" s="16">
        <v>950.2</v>
      </c>
      <c r="H97" s="16">
        <v>1033.8399999999999</v>
      </c>
      <c r="I97" s="16">
        <v>2</v>
      </c>
      <c r="J97" s="16" t="s">
        <v>38</v>
      </c>
      <c r="K97" s="16">
        <v>69</v>
      </c>
      <c r="L97" s="16">
        <v>5374</v>
      </c>
      <c r="M97" s="16" t="s">
        <v>18</v>
      </c>
      <c r="N97" s="16" t="s">
        <v>29</v>
      </c>
      <c r="O97" s="16" t="s">
        <v>20</v>
      </c>
      <c r="P97" s="16" t="s">
        <v>34</v>
      </c>
      <c r="Q97" s="16">
        <v>4</v>
      </c>
      <c r="R97" s="16" t="s">
        <v>29</v>
      </c>
      <c r="S97" s="16" t="s">
        <v>32</v>
      </c>
      <c r="T97" s="16">
        <v>2</v>
      </c>
      <c r="U97" s="16" t="s">
        <v>38</v>
      </c>
      <c r="V97" s="4">
        <v>1</v>
      </c>
      <c r="W97" s="4">
        <v>0</v>
      </c>
      <c r="X97" s="8"/>
      <c r="Y97" s="3"/>
      <c r="Z97"/>
      <c r="AA97" s="3"/>
      <c r="AB97" s="2"/>
      <c r="AC97" s="3"/>
      <c r="AD97" s="20"/>
      <c r="AE97" s="11"/>
      <c r="AF97" s="10"/>
    </row>
    <row r="98" spans="1:32" x14ac:dyDescent="0.25">
      <c r="A98" s="15">
        <v>27</v>
      </c>
      <c r="B98" s="15" t="s">
        <v>44</v>
      </c>
      <c r="C98" s="13">
        <v>43976</v>
      </c>
      <c r="D98" s="11">
        <f t="shared" ref="D98:D129" si="3">EDATE(C98,F98)</f>
        <v>44555</v>
      </c>
      <c r="E98" s="15">
        <v>95.45</v>
      </c>
      <c r="F98" s="15">
        <v>19</v>
      </c>
      <c r="G98" s="15">
        <v>396.1</v>
      </c>
      <c r="H98" s="15">
        <v>522.54</v>
      </c>
      <c r="I98" s="15">
        <v>3</v>
      </c>
      <c r="J98" s="15" t="s">
        <v>38</v>
      </c>
      <c r="K98" s="15">
        <v>85</v>
      </c>
      <c r="L98" s="15">
        <v>3677</v>
      </c>
      <c r="M98" s="15" t="s">
        <v>18</v>
      </c>
      <c r="N98" s="15" t="s">
        <v>29</v>
      </c>
      <c r="O98" s="15" t="s">
        <v>31</v>
      </c>
      <c r="P98" s="15" t="s">
        <v>21</v>
      </c>
      <c r="Q98" s="15">
        <v>5</v>
      </c>
      <c r="R98" s="15" t="s">
        <v>22</v>
      </c>
      <c r="S98" s="15" t="s">
        <v>32</v>
      </c>
      <c r="T98" s="15">
        <v>7</v>
      </c>
      <c r="U98" s="15" t="s">
        <v>38</v>
      </c>
      <c r="V98" s="4">
        <v>2</v>
      </c>
      <c r="W98" s="4">
        <v>0</v>
      </c>
      <c r="X98" s="8"/>
      <c r="Y98" s="3"/>
      <c r="Z98"/>
      <c r="AA98" s="3"/>
      <c r="AB98" s="2"/>
      <c r="AC98" s="3"/>
      <c r="AD98" s="20"/>
      <c r="AE98" s="11"/>
      <c r="AF98" s="10"/>
    </row>
    <row r="99" spans="1:32" x14ac:dyDescent="0.25">
      <c r="A99" s="16">
        <v>29</v>
      </c>
      <c r="B99" s="16" t="s">
        <v>49</v>
      </c>
      <c r="C99" s="14">
        <v>44471</v>
      </c>
      <c r="D99" s="11">
        <f t="shared" si="3"/>
        <v>44532</v>
      </c>
      <c r="E99" s="16">
        <v>90.5</v>
      </c>
      <c r="F99" s="16">
        <v>2</v>
      </c>
      <c r="G99" s="16">
        <v>1201.1500000000001</v>
      </c>
      <c r="H99" s="16">
        <v>1650.74</v>
      </c>
      <c r="I99" s="16">
        <v>1</v>
      </c>
      <c r="J99" s="16" t="s">
        <v>17</v>
      </c>
      <c r="K99" s="16">
        <v>76</v>
      </c>
      <c r="L99" s="16">
        <v>5394</v>
      </c>
      <c r="M99" s="16" t="s">
        <v>18</v>
      </c>
      <c r="N99" s="16" t="s">
        <v>19</v>
      </c>
      <c r="O99" s="16" t="s">
        <v>35</v>
      </c>
      <c r="P99" s="16" t="s">
        <v>21</v>
      </c>
      <c r="Q99" s="16">
        <v>5</v>
      </c>
      <c r="R99" s="16" t="s">
        <v>19</v>
      </c>
      <c r="S99" s="16" t="s">
        <v>27</v>
      </c>
      <c r="T99" s="16">
        <v>1</v>
      </c>
      <c r="U99" s="16" t="s">
        <v>38</v>
      </c>
      <c r="V99" s="4">
        <v>1</v>
      </c>
      <c r="W99" s="4">
        <v>1</v>
      </c>
      <c r="X99" s="8"/>
      <c r="Y99" s="3"/>
      <c r="Z99"/>
      <c r="AA99" s="3"/>
      <c r="AB99" s="2"/>
      <c r="AC99" s="3"/>
      <c r="AD99" s="20"/>
      <c r="AE99" s="11"/>
      <c r="AF99" s="10"/>
    </row>
    <row r="100" spans="1:32" x14ac:dyDescent="0.25">
      <c r="A100" s="15">
        <v>35</v>
      </c>
      <c r="B100" s="15" t="s">
        <v>45</v>
      </c>
      <c r="C100" s="13">
        <v>44335</v>
      </c>
      <c r="D100" s="11">
        <f t="shared" si="3"/>
        <v>44549</v>
      </c>
      <c r="E100" s="15">
        <v>89.6</v>
      </c>
      <c r="F100" s="15">
        <v>7</v>
      </c>
      <c r="G100" s="15">
        <v>6127.6</v>
      </c>
      <c r="H100" s="15">
        <v>7768.44</v>
      </c>
      <c r="I100" s="15">
        <v>1</v>
      </c>
      <c r="J100" s="15" t="s">
        <v>17</v>
      </c>
      <c r="K100" s="15">
        <v>69</v>
      </c>
      <c r="L100" s="15">
        <v>5651</v>
      </c>
      <c r="M100" s="15" t="s">
        <v>18</v>
      </c>
      <c r="N100" s="15" t="s">
        <v>29</v>
      </c>
      <c r="O100" s="15" t="s">
        <v>25</v>
      </c>
      <c r="P100" s="15" t="s">
        <v>21</v>
      </c>
      <c r="Q100" s="15">
        <v>1</v>
      </c>
      <c r="R100" s="15" t="s">
        <v>22</v>
      </c>
      <c r="S100" s="15" t="s">
        <v>27</v>
      </c>
      <c r="T100" s="15">
        <v>8</v>
      </c>
      <c r="U100" s="15" t="s">
        <v>38</v>
      </c>
      <c r="V100" s="4">
        <v>1</v>
      </c>
      <c r="W100" s="4">
        <v>1</v>
      </c>
      <c r="X100" s="8"/>
      <c r="Y100" s="3"/>
      <c r="Z100"/>
      <c r="AA100" s="3"/>
      <c r="AB100" s="2"/>
      <c r="AC100" s="3"/>
      <c r="AD100" s="20"/>
      <c r="AE100" s="11"/>
      <c r="AF100" s="10"/>
    </row>
    <row r="101" spans="1:32" x14ac:dyDescent="0.25">
      <c r="A101" s="16">
        <v>35</v>
      </c>
      <c r="B101" s="16" t="s">
        <v>48</v>
      </c>
      <c r="C101" s="14">
        <v>44215</v>
      </c>
      <c r="D101" s="11">
        <f t="shared" si="3"/>
        <v>44549</v>
      </c>
      <c r="E101" s="16">
        <v>100.3</v>
      </c>
      <c r="F101" s="16">
        <v>11</v>
      </c>
      <c r="G101" s="16">
        <v>832.35</v>
      </c>
      <c r="H101" s="16">
        <v>924.91</v>
      </c>
      <c r="I101" s="16">
        <v>1</v>
      </c>
      <c r="J101" s="16" t="s">
        <v>38</v>
      </c>
      <c r="K101" s="16">
        <v>74</v>
      </c>
      <c r="L101" s="16">
        <v>5084</v>
      </c>
      <c r="M101" s="16" t="s">
        <v>18</v>
      </c>
      <c r="N101" s="16" t="s">
        <v>19</v>
      </c>
      <c r="O101" s="16" t="s">
        <v>20</v>
      </c>
      <c r="P101" s="16" t="s">
        <v>21</v>
      </c>
      <c r="Q101" s="16">
        <v>4</v>
      </c>
      <c r="R101" s="16" t="s">
        <v>29</v>
      </c>
      <c r="S101" s="16" t="s">
        <v>30</v>
      </c>
      <c r="T101" s="16">
        <v>4</v>
      </c>
      <c r="U101" s="16" t="s">
        <v>38</v>
      </c>
      <c r="V101" s="4">
        <v>1</v>
      </c>
      <c r="W101" s="4">
        <v>0</v>
      </c>
      <c r="X101" s="8"/>
      <c r="Y101" s="3"/>
      <c r="Z101"/>
      <c r="AA101" s="3"/>
      <c r="AB101" s="2"/>
      <c r="AC101" s="3"/>
      <c r="AD101" s="20"/>
      <c r="AE101" s="11"/>
      <c r="AF101" s="10"/>
    </row>
    <row r="102" spans="1:32" x14ac:dyDescent="0.25">
      <c r="A102" s="15">
        <v>34</v>
      </c>
      <c r="B102" s="15" t="s">
        <v>48</v>
      </c>
      <c r="C102" s="13">
        <v>44470</v>
      </c>
      <c r="D102" s="11">
        <f t="shared" si="3"/>
        <v>44562</v>
      </c>
      <c r="E102" s="15">
        <v>85.3</v>
      </c>
      <c r="F102" s="15">
        <v>3</v>
      </c>
      <c r="G102" s="15">
        <v>2661.1</v>
      </c>
      <c r="H102" s="15">
        <v>4248.3</v>
      </c>
      <c r="I102" s="15">
        <v>1</v>
      </c>
      <c r="J102" s="15" t="s">
        <v>17</v>
      </c>
      <c r="K102" s="15">
        <v>75</v>
      </c>
      <c r="L102" s="15">
        <v>2712</v>
      </c>
      <c r="M102" s="15" t="s">
        <v>26</v>
      </c>
      <c r="N102" s="15" t="s">
        <v>19</v>
      </c>
      <c r="O102" s="15" t="s">
        <v>31</v>
      </c>
      <c r="P102" s="15" t="s">
        <v>21</v>
      </c>
      <c r="Q102" s="15">
        <v>2</v>
      </c>
      <c r="R102" s="15" t="s">
        <v>22</v>
      </c>
      <c r="S102" s="15" t="s">
        <v>32</v>
      </c>
      <c r="T102" s="15">
        <v>4</v>
      </c>
      <c r="U102" s="15" t="s">
        <v>38</v>
      </c>
      <c r="V102" s="4">
        <v>0</v>
      </c>
      <c r="W102" s="4">
        <v>1</v>
      </c>
      <c r="X102" s="8"/>
      <c r="Y102" s="3"/>
      <c r="Z102"/>
      <c r="AA102" s="3"/>
      <c r="AB102" s="2"/>
      <c r="AC102" s="3"/>
      <c r="AD102" s="20"/>
      <c r="AE102" s="11"/>
      <c r="AF102" s="10"/>
    </row>
    <row r="103" spans="1:32" x14ac:dyDescent="0.25">
      <c r="A103" s="16">
        <v>39</v>
      </c>
      <c r="B103" s="16" t="s">
        <v>51</v>
      </c>
      <c r="C103" s="14">
        <v>44125</v>
      </c>
      <c r="D103" s="11">
        <f t="shared" si="3"/>
        <v>44551</v>
      </c>
      <c r="E103" s="16">
        <v>95.25</v>
      </c>
      <c r="F103" s="16">
        <v>14</v>
      </c>
      <c r="G103" s="16">
        <v>4424.2</v>
      </c>
      <c r="H103" s="16">
        <v>4706.18</v>
      </c>
      <c r="I103" s="16">
        <v>2</v>
      </c>
      <c r="J103" s="16" t="s">
        <v>38</v>
      </c>
      <c r="K103" s="16">
        <v>90</v>
      </c>
      <c r="L103" s="16">
        <v>3180</v>
      </c>
      <c r="M103" s="16" t="s">
        <v>18</v>
      </c>
      <c r="N103" s="16" t="s">
        <v>29</v>
      </c>
      <c r="O103" s="16" t="s">
        <v>33</v>
      </c>
      <c r="P103" s="16" t="s">
        <v>21</v>
      </c>
      <c r="Q103" s="16">
        <v>4</v>
      </c>
      <c r="R103" s="16" t="s">
        <v>19</v>
      </c>
      <c r="S103" s="16" t="s">
        <v>27</v>
      </c>
      <c r="T103" s="16">
        <v>3</v>
      </c>
      <c r="U103" s="16" t="s">
        <v>17</v>
      </c>
      <c r="V103" s="4">
        <v>0</v>
      </c>
      <c r="W103" s="4">
        <v>0</v>
      </c>
      <c r="X103" s="8"/>
      <c r="Y103" s="3"/>
      <c r="Z103"/>
      <c r="AA103" s="3"/>
      <c r="AB103" s="2"/>
      <c r="AC103" s="3"/>
      <c r="AD103" s="20"/>
      <c r="AE103" s="11"/>
      <c r="AF103" s="10"/>
    </row>
    <row r="104" spans="1:32" x14ac:dyDescent="0.25">
      <c r="A104" s="15">
        <v>30</v>
      </c>
      <c r="B104" s="15" t="s">
        <v>53</v>
      </c>
      <c r="C104" s="13">
        <v>44024</v>
      </c>
      <c r="D104" s="11">
        <f t="shared" si="3"/>
        <v>44542</v>
      </c>
      <c r="E104" s="15">
        <v>95.25</v>
      </c>
      <c r="F104" s="15">
        <v>17</v>
      </c>
      <c r="G104" s="15">
        <v>1233.6500000000001</v>
      </c>
      <c r="H104" s="15">
        <v>1597.66</v>
      </c>
      <c r="I104" s="15">
        <v>1</v>
      </c>
      <c r="J104" s="15" t="s">
        <v>17</v>
      </c>
      <c r="K104" s="15">
        <v>90</v>
      </c>
      <c r="L104" s="15">
        <v>2982</v>
      </c>
      <c r="M104" s="15" t="s">
        <v>18</v>
      </c>
      <c r="N104" s="15" t="s">
        <v>19</v>
      </c>
      <c r="O104" s="15" t="s">
        <v>25</v>
      </c>
      <c r="P104" s="15" t="s">
        <v>21</v>
      </c>
      <c r="Q104" s="15">
        <v>2</v>
      </c>
      <c r="R104" s="15" t="s">
        <v>19</v>
      </c>
      <c r="S104" s="15" t="s">
        <v>32</v>
      </c>
      <c r="T104" s="15">
        <v>10</v>
      </c>
      <c r="U104" s="15" t="s">
        <v>17</v>
      </c>
      <c r="V104" s="4">
        <v>0</v>
      </c>
      <c r="W104" s="4">
        <v>1</v>
      </c>
      <c r="X104" s="8"/>
      <c r="Y104" s="3"/>
      <c r="Z104"/>
      <c r="AA104" s="3"/>
      <c r="AB104" s="2"/>
      <c r="AC104" s="3"/>
      <c r="AD104" s="20"/>
      <c r="AE104" s="11"/>
      <c r="AF104" s="10"/>
    </row>
    <row r="105" spans="1:32" x14ac:dyDescent="0.25">
      <c r="A105" s="16">
        <v>38</v>
      </c>
      <c r="B105" s="16" t="s">
        <v>49</v>
      </c>
      <c r="C105" s="14">
        <v>43871</v>
      </c>
      <c r="D105" s="11">
        <f t="shared" si="3"/>
        <v>44540</v>
      </c>
      <c r="E105" s="16">
        <v>104.05</v>
      </c>
      <c r="F105" s="16">
        <v>22</v>
      </c>
      <c r="G105" s="16">
        <v>1133.6500000000001</v>
      </c>
      <c r="H105" s="16">
        <v>1323.4</v>
      </c>
      <c r="I105" s="16">
        <v>3</v>
      </c>
      <c r="J105" s="16" t="s">
        <v>17</v>
      </c>
      <c r="K105" s="16">
        <v>82</v>
      </c>
      <c r="L105" s="16">
        <v>4553</v>
      </c>
      <c r="M105" s="16" t="s">
        <v>26</v>
      </c>
      <c r="N105" s="16" t="s">
        <v>19</v>
      </c>
      <c r="O105" s="16" t="s">
        <v>33</v>
      </c>
      <c r="P105" s="16" t="s">
        <v>34</v>
      </c>
      <c r="Q105" s="16">
        <v>3</v>
      </c>
      <c r="R105" s="16" t="s">
        <v>19</v>
      </c>
      <c r="S105" s="16" t="s">
        <v>23</v>
      </c>
      <c r="T105" s="16">
        <v>8</v>
      </c>
      <c r="U105" s="16" t="s">
        <v>38</v>
      </c>
      <c r="V105" s="4">
        <v>2</v>
      </c>
      <c r="W105" s="4">
        <v>1</v>
      </c>
      <c r="X105" s="8"/>
      <c r="Y105" s="3"/>
      <c r="Z105"/>
      <c r="AA105" s="3"/>
      <c r="AB105" s="2"/>
      <c r="AC105" s="3"/>
      <c r="AD105" s="20"/>
      <c r="AE105" s="11"/>
      <c r="AF105" s="10"/>
    </row>
    <row r="106" spans="1:32" x14ac:dyDescent="0.25">
      <c r="A106" s="15">
        <v>35</v>
      </c>
      <c r="B106" s="15" t="s">
        <v>51</v>
      </c>
      <c r="C106" s="13">
        <v>44508</v>
      </c>
      <c r="D106" s="11">
        <f t="shared" si="3"/>
        <v>44538</v>
      </c>
      <c r="E106" s="15">
        <v>28.45</v>
      </c>
      <c r="F106" s="15">
        <v>1</v>
      </c>
      <c r="G106" s="15">
        <v>131.05000000000001</v>
      </c>
      <c r="H106" s="15">
        <v>131.05000000000001</v>
      </c>
      <c r="I106" s="15">
        <v>2</v>
      </c>
      <c r="J106" s="15" t="s">
        <v>38</v>
      </c>
      <c r="K106" s="15">
        <v>89</v>
      </c>
      <c r="L106" s="15">
        <v>4099</v>
      </c>
      <c r="M106" s="15" t="s">
        <v>18</v>
      </c>
      <c r="N106" s="15" t="s">
        <v>29</v>
      </c>
      <c r="O106" s="15" t="s">
        <v>31</v>
      </c>
      <c r="P106" s="15" t="s">
        <v>34</v>
      </c>
      <c r="Q106" s="15">
        <v>2</v>
      </c>
      <c r="R106" s="15" t="s">
        <v>22</v>
      </c>
      <c r="S106" s="15" t="s">
        <v>27</v>
      </c>
      <c r="T106" s="15">
        <v>1</v>
      </c>
      <c r="U106" s="15" t="s">
        <v>17</v>
      </c>
      <c r="V106" s="4">
        <v>2</v>
      </c>
      <c r="W106" s="4">
        <v>0</v>
      </c>
      <c r="X106" s="8"/>
      <c r="Y106" s="3"/>
      <c r="Z106"/>
      <c r="AA106" s="3"/>
      <c r="AB106" s="2"/>
      <c r="AC106" s="3"/>
      <c r="AD106" s="20"/>
      <c r="AE106" s="11"/>
      <c r="AF106" s="10"/>
    </row>
    <row r="107" spans="1:32" x14ac:dyDescent="0.25">
      <c r="A107" s="16">
        <v>30</v>
      </c>
      <c r="B107" s="16" t="s">
        <v>48</v>
      </c>
      <c r="C107" s="14">
        <v>44081</v>
      </c>
      <c r="D107" s="11">
        <f t="shared" si="3"/>
        <v>44537</v>
      </c>
      <c r="E107" s="16">
        <v>93.2</v>
      </c>
      <c r="F107" s="16">
        <v>15</v>
      </c>
      <c r="G107" s="16">
        <v>2931</v>
      </c>
      <c r="H107" s="16">
        <v>3992.8</v>
      </c>
      <c r="I107" s="16">
        <v>3</v>
      </c>
      <c r="J107" s="16" t="s">
        <v>38</v>
      </c>
      <c r="K107" s="16">
        <v>90</v>
      </c>
      <c r="L107" s="16">
        <v>5247</v>
      </c>
      <c r="M107" s="16" t="s">
        <v>28</v>
      </c>
      <c r="N107" s="16" t="s">
        <v>19</v>
      </c>
      <c r="O107" s="16" t="s">
        <v>31</v>
      </c>
      <c r="P107" s="16" t="s">
        <v>34</v>
      </c>
      <c r="Q107" s="16">
        <v>4</v>
      </c>
      <c r="R107" s="16" t="s">
        <v>29</v>
      </c>
      <c r="S107" s="16" t="s">
        <v>30</v>
      </c>
      <c r="T107" s="16">
        <v>6</v>
      </c>
      <c r="U107" s="16" t="s">
        <v>38</v>
      </c>
      <c r="V107" s="4">
        <v>1</v>
      </c>
      <c r="W107" s="4">
        <v>0</v>
      </c>
      <c r="X107" s="8"/>
      <c r="Y107" s="3"/>
      <c r="Z107"/>
      <c r="AA107" s="3"/>
      <c r="AB107" s="2"/>
      <c r="AC107" s="3"/>
      <c r="AD107" s="20"/>
      <c r="AE107" s="11"/>
      <c r="AF107" s="10"/>
    </row>
    <row r="108" spans="1:32" x14ac:dyDescent="0.25">
      <c r="A108" s="15">
        <v>34</v>
      </c>
      <c r="B108" s="15" t="s">
        <v>49</v>
      </c>
      <c r="C108" s="13">
        <v>44435</v>
      </c>
      <c r="D108" s="11">
        <f t="shared" si="3"/>
        <v>44557</v>
      </c>
      <c r="E108" s="15">
        <v>82.45</v>
      </c>
      <c r="F108" s="15">
        <v>4</v>
      </c>
      <c r="G108" s="15">
        <v>4350.1000000000004</v>
      </c>
      <c r="H108" s="15">
        <v>5002.42</v>
      </c>
      <c r="I108" s="15">
        <v>1</v>
      </c>
      <c r="J108" s="15" t="s">
        <v>38</v>
      </c>
      <c r="K108" s="15">
        <v>83</v>
      </c>
      <c r="L108" s="15">
        <v>4149</v>
      </c>
      <c r="M108" s="15" t="s">
        <v>18</v>
      </c>
      <c r="N108" s="15" t="s">
        <v>19</v>
      </c>
      <c r="O108" s="15" t="s">
        <v>35</v>
      </c>
      <c r="P108" s="15" t="s">
        <v>21</v>
      </c>
      <c r="Q108" s="15">
        <v>1</v>
      </c>
      <c r="R108" s="15" t="s">
        <v>19</v>
      </c>
      <c r="S108" s="15" t="s">
        <v>30</v>
      </c>
      <c r="T108" s="15">
        <v>5</v>
      </c>
      <c r="U108" s="15" t="s">
        <v>17</v>
      </c>
      <c r="V108" s="4">
        <v>2</v>
      </c>
      <c r="W108" s="4">
        <v>0</v>
      </c>
      <c r="X108" s="8"/>
      <c r="Y108" s="3"/>
      <c r="Z108"/>
      <c r="AA108" s="3"/>
      <c r="AB108" s="2"/>
      <c r="AC108" s="3"/>
      <c r="AD108" s="20"/>
      <c r="AE108" s="11"/>
      <c r="AF108" s="10"/>
    </row>
    <row r="109" spans="1:32" x14ac:dyDescent="0.25">
      <c r="A109" s="16">
        <v>30</v>
      </c>
      <c r="B109" s="16" t="s">
        <v>45</v>
      </c>
      <c r="C109" s="14">
        <v>43933</v>
      </c>
      <c r="D109" s="11">
        <f t="shared" si="3"/>
        <v>44542</v>
      </c>
      <c r="E109" s="16">
        <v>95.45</v>
      </c>
      <c r="F109" s="16">
        <v>20</v>
      </c>
      <c r="G109" s="16">
        <v>1752.55</v>
      </c>
      <c r="H109" s="16">
        <v>1910.88</v>
      </c>
      <c r="I109" s="16">
        <v>2</v>
      </c>
      <c r="J109" s="16" t="s">
        <v>38</v>
      </c>
      <c r="K109" s="16">
        <v>81</v>
      </c>
      <c r="L109" s="16">
        <v>3179</v>
      </c>
      <c r="M109" s="16" t="s">
        <v>26</v>
      </c>
      <c r="N109" s="16" t="s">
        <v>22</v>
      </c>
      <c r="O109" s="16" t="s">
        <v>20</v>
      </c>
      <c r="P109" s="16" t="s">
        <v>21</v>
      </c>
      <c r="Q109" s="16">
        <v>5</v>
      </c>
      <c r="R109" s="16" t="s">
        <v>19</v>
      </c>
      <c r="S109" s="16" t="s">
        <v>27</v>
      </c>
      <c r="T109" s="16">
        <v>10</v>
      </c>
      <c r="U109" s="16" t="s">
        <v>17</v>
      </c>
      <c r="V109" s="4">
        <v>0</v>
      </c>
      <c r="W109" s="4">
        <v>0</v>
      </c>
      <c r="X109" s="8"/>
      <c r="Y109" s="3"/>
      <c r="Z109"/>
      <c r="AA109" s="3"/>
      <c r="AB109" s="2"/>
      <c r="AC109" s="3"/>
      <c r="AD109" s="20"/>
      <c r="AE109" s="11"/>
      <c r="AF109" s="10"/>
    </row>
    <row r="110" spans="1:32" x14ac:dyDescent="0.25">
      <c r="A110" s="15">
        <v>39</v>
      </c>
      <c r="B110" s="15" t="s">
        <v>50</v>
      </c>
      <c r="C110" s="13">
        <v>44238</v>
      </c>
      <c r="D110" s="11">
        <f t="shared" si="3"/>
        <v>44541</v>
      </c>
      <c r="E110" s="15">
        <v>84.65</v>
      </c>
      <c r="F110" s="15">
        <v>10</v>
      </c>
      <c r="G110" s="15">
        <v>3541.35</v>
      </c>
      <c r="H110" s="15">
        <v>3941.61</v>
      </c>
      <c r="I110" s="15">
        <v>2</v>
      </c>
      <c r="J110" s="15" t="s">
        <v>38</v>
      </c>
      <c r="K110" s="15">
        <v>90</v>
      </c>
      <c r="L110" s="15">
        <v>4871</v>
      </c>
      <c r="M110" s="15" t="s">
        <v>18</v>
      </c>
      <c r="N110" s="15" t="s">
        <v>29</v>
      </c>
      <c r="O110" s="15" t="s">
        <v>25</v>
      </c>
      <c r="P110" s="15" t="s">
        <v>34</v>
      </c>
      <c r="Q110" s="15">
        <v>1</v>
      </c>
      <c r="R110" s="15" t="s">
        <v>29</v>
      </c>
      <c r="S110" s="15" t="s">
        <v>30</v>
      </c>
      <c r="T110" s="15">
        <v>3</v>
      </c>
      <c r="U110" s="15" t="s">
        <v>17</v>
      </c>
      <c r="V110" s="4">
        <v>2</v>
      </c>
      <c r="W110" s="4">
        <v>0</v>
      </c>
      <c r="X110" s="8"/>
      <c r="Y110" s="3"/>
      <c r="Z110"/>
      <c r="AA110" s="3"/>
      <c r="AB110" s="2"/>
      <c r="AC110" s="3"/>
      <c r="AD110" s="20"/>
      <c r="AE110" s="11"/>
      <c r="AF110" s="10"/>
    </row>
    <row r="111" spans="1:32" x14ac:dyDescent="0.25">
      <c r="A111" s="16">
        <v>40</v>
      </c>
      <c r="B111" s="16" t="s">
        <v>51</v>
      </c>
      <c r="C111" s="14">
        <v>44497</v>
      </c>
      <c r="D111" s="11">
        <f t="shared" si="3"/>
        <v>44558</v>
      </c>
      <c r="E111" s="16">
        <v>70.349999999999994</v>
      </c>
      <c r="F111" s="16">
        <v>2</v>
      </c>
      <c r="G111" s="16">
        <v>139.05000000000001</v>
      </c>
      <c r="H111" s="16">
        <v>165.39</v>
      </c>
      <c r="I111" s="16">
        <v>3</v>
      </c>
      <c r="J111" s="16" t="s">
        <v>38</v>
      </c>
      <c r="K111" s="16">
        <v>73</v>
      </c>
      <c r="L111" s="16">
        <v>2671</v>
      </c>
      <c r="M111" s="16" t="s">
        <v>18</v>
      </c>
      <c r="N111" s="16" t="s">
        <v>19</v>
      </c>
      <c r="O111" s="16" t="s">
        <v>31</v>
      </c>
      <c r="P111" s="16" t="s">
        <v>34</v>
      </c>
      <c r="Q111" s="16">
        <v>2</v>
      </c>
      <c r="R111" s="16" t="s">
        <v>19</v>
      </c>
      <c r="S111" s="16" t="s">
        <v>30</v>
      </c>
      <c r="T111" s="16">
        <v>8</v>
      </c>
      <c r="U111" s="16" t="s">
        <v>38</v>
      </c>
      <c r="V111" s="4">
        <v>0</v>
      </c>
      <c r="W111" s="4">
        <v>0</v>
      </c>
      <c r="X111" s="8"/>
      <c r="Y111" s="3"/>
      <c r="Z111"/>
      <c r="AA111" s="3"/>
      <c r="AB111" s="2"/>
      <c r="AC111" s="3"/>
      <c r="AD111" s="20"/>
      <c r="AE111" s="11"/>
      <c r="AF111" s="10"/>
    </row>
    <row r="112" spans="1:32" x14ac:dyDescent="0.25">
      <c r="A112" s="15">
        <v>21</v>
      </c>
      <c r="B112" s="15" t="s">
        <v>52</v>
      </c>
      <c r="C112" s="13">
        <v>44117</v>
      </c>
      <c r="D112" s="11">
        <f t="shared" si="3"/>
        <v>44543</v>
      </c>
      <c r="E112" s="15">
        <v>85</v>
      </c>
      <c r="F112" s="15">
        <v>14</v>
      </c>
      <c r="G112" s="15">
        <v>2642.05</v>
      </c>
      <c r="H112" s="15">
        <v>2784.16</v>
      </c>
      <c r="I112" s="15">
        <v>1</v>
      </c>
      <c r="J112" s="15" t="s">
        <v>38</v>
      </c>
      <c r="K112" s="15">
        <v>94</v>
      </c>
      <c r="L112" s="15">
        <v>4584</v>
      </c>
      <c r="M112" s="15" t="s">
        <v>24</v>
      </c>
      <c r="N112" s="15" t="s">
        <v>19</v>
      </c>
      <c r="O112" s="15" t="s">
        <v>20</v>
      </c>
      <c r="P112" s="15" t="s">
        <v>21</v>
      </c>
      <c r="Q112" s="15">
        <v>1</v>
      </c>
      <c r="R112" s="15" t="s">
        <v>29</v>
      </c>
      <c r="S112" s="15" t="s">
        <v>30</v>
      </c>
      <c r="T112" s="15">
        <v>5</v>
      </c>
      <c r="U112" s="15" t="s">
        <v>17</v>
      </c>
      <c r="V112" s="4">
        <v>2</v>
      </c>
      <c r="W112" s="4">
        <v>0</v>
      </c>
      <c r="X112" s="8"/>
      <c r="Y112" s="3"/>
      <c r="Z112"/>
      <c r="AA112" s="3"/>
      <c r="AB112" s="2"/>
      <c r="AC112" s="3"/>
      <c r="AD112" s="20"/>
      <c r="AE112" s="11"/>
      <c r="AF112" s="10"/>
    </row>
    <row r="113" spans="1:32" x14ac:dyDescent="0.25">
      <c r="A113" s="16">
        <v>30</v>
      </c>
      <c r="B113" s="16" t="s">
        <v>46</v>
      </c>
      <c r="C113" s="14">
        <v>44321</v>
      </c>
      <c r="D113" s="11">
        <f t="shared" si="3"/>
        <v>44535</v>
      </c>
      <c r="E113" s="16">
        <v>94.45</v>
      </c>
      <c r="F113" s="16">
        <v>7</v>
      </c>
      <c r="G113" s="16">
        <v>1511.2</v>
      </c>
      <c r="H113" s="16">
        <v>1662.08</v>
      </c>
      <c r="I113" s="16">
        <v>1</v>
      </c>
      <c r="J113" s="16" t="s">
        <v>38</v>
      </c>
      <c r="K113" s="16">
        <v>81</v>
      </c>
      <c r="L113" s="16">
        <v>3810</v>
      </c>
      <c r="M113" s="16" t="s">
        <v>18</v>
      </c>
      <c r="N113" s="16" t="s">
        <v>19</v>
      </c>
      <c r="O113" s="16" t="s">
        <v>33</v>
      </c>
      <c r="P113" s="16" t="s">
        <v>21</v>
      </c>
      <c r="Q113" s="16">
        <v>1</v>
      </c>
      <c r="R113" s="16" t="s">
        <v>29</v>
      </c>
      <c r="S113" s="16" t="s">
        <v>32</v>
      </c>
      <c r="T113" s="16">
        <v>6</v>
      </c>
      <c r="U113" s="16" t="s">
        <v>17</v>
      </c>
      <c r="V113" s="4">
        <v>2</v>
      </c>
      <c r="W113" s="4">
        <v>0</v>
      </c>
      <c r="X113" s="8"/>
      <c r="Y113" s="3"/>
      <c r="Z113"/>
      <c r="AA113" s="3"/>
      <c r="AB113" s="2"/>
      <c r="AC113" s="3"/>
      <c r="AD113" s="20"/>
      <c r="AE113" s="11"/>
      <c r="AF113" s="10"/>
    </row>
    <row r="114" spans="1:32" x14ac:dyDescent="0.25">
      <c r="A114" s="15">
        <v>37</v>
      </c>
      <c r="B114" s="15" t="s">
        <v>44</v>
      </c>
      <c r="C114" s="13">
        <v>44372</v>
      </c>
      <c r="D114" s="11">
        <f t="shared" si="3"/>
        <v>44555</v>
      </c>
      <c r="E114" s="15">
        <v>80.650000000000006</v>
      </c>
      <c r="F114" s="15">
        <v>6</v>
      </c>
      <c r="G114" s="15">
        <v>633.29999999999995</v>
      </c>
      <c r="H114" s="15">
        <v>1024.0999999999999</v>
      </c>
      <c r="I114" s="15">
        <v>3</v>
      </c>
      <c r="J114" s="15" t="s">
        <v>38</v>
      </c>
      <c r="K114" s="15">
        <v>69</v>
      </c>
      <c r="L114" s="15">
        <v>5302</v>
      </c>
      <c r="M114" s="15" t="s">
        <v>24</v>
      </c>
      <c r="N114" s="15" t="s">
        <v>19</v>
      </c>
      <c r="O114" s="15" t="s">
        <v>25</v>
      </c>
      <c r="P114" s="15" t="s">
        <v>21</v>
      </c>
      <c r="Q114" s="15">
        <v>1</v>
      </c>
      <c r="R114" s="15" t="s">
        <v>19</v>
      </c>
      <c r="S114" s="15" t="s">
        <v>23</v>
      </c>
      <c r="T114" s="15">
        <v>5</v>
      </c>
      <c r="U114" s="15" t="s">
        <v>38</v>
      </c>
      <c r="V114" s="4">
        <v>1</v>
      </c>
      <c r="W114" s="4">
        <v>0</v>
      </c>
      <c r="X114" s="8"/>
      <c r="Y114" s="3"/>
      <c r="Z114"/>
      <c r="AA114" s="3"/>
      <c r="AB114" s="2"/>
      <c r="AC114" s="3"/>
      <c r="AD114" s="20"/>
      <c r="AE114" s="11"/>
      <c r="AF114" s="10"/>
    </row>
    <row r="115" spans="1:32" x14ac:dyDescent="0.25">
      <c r="A115" s="16">
        <v>21</v>
      </c>
      <c r="B115" s="16" t="s">
        <v>46</v>
      </c>
      <c r="C115" s="14">
        <v>44087</v>
      </c>
      <c r="D115" s="11">
        <f t="shared" si="3"/>
        <v>44543</v>
      </c>
      <c r="E115" s="16">
        <v>80.400000000000006</v>
      </c>
      <c r="F115" s="16">
        <v>15</v>
      </c>
      <c r="G115" s="16">
        <v>224.05</v>
      </c>
      <c r="H115" s="16">
        <v>233.92</v>
      </c>
      <c r="I115" s="16">
        <v>2</v>
      </c>
      <c r="J115" s="16" t="s">
        <v>17</v>
      </c>
      <c r="K115" s="16">
        <v>89</v>
      </c>
      <c r="L115" s="16">
        <v>3834</v>
      </c>
      <c r="M115" s="16" t="s">
        <v>26</v>
      </c>
      <c r="N115" s="16" t="s">
        <v>19</v>
      </c>
      <c r="O115" s="16" t="s">
        <v>31</v>
      </c>
      <c r="P115" s="16" t="s">
        <v>21</v>
      </c>
      <c r="Q115" s="16">
        <v>1</v>
      </c>
      <c r="R115" s="16" t="s">
        <v>29</v>
      </c>
      <c r="S115" s="16" t="s">
        <v>30</v>
      </c>
      <c r="T115" s="16">
        <v>1</v>
      </c>
      <c r="U115" s="16" t="s">
        <v>17</v>
      </c>
      <c r="V115" s="4">
        <v>2</v>
      </c>
      <c r="W115" s="4">
        <v>1</v>
      </c>
      <c r="X115" s="8"/>
      <c r="Y115" s="3"/>
      <c r="Z115"/>
      <c r="AA115" s="3"/>
      <c r="AB115" s="2"/>
      <c r="AC115" s="3"/>
      <c r="AD115" s="20"/>
      <c r="AE115" s="11"/>
      <c r="AF115" s="10"/>
    </row>
    <row r="116" spans="1:32" x14ac:dyDescent="0.25">
      <c r="A116" s="15">
        <v>30</v>
      </c>
      <c r="B116" s="15" t="s">
        <v>48</v>
      </c>
      <c r="C116" s="13">
        <v>44544</v>
      </c>
      <c r="D116" s="11">
        <f t="shared" si="3"/>
        <v>44544</v>
      </c>
      <c r="E116" s="15">
        <v>104.55</v>
      </c>
      <c r="F116" s="15">
        <v>0</v>
      </c>
      <c r="G116" s="15">
        <v>5794.65</v>
      </c>
      <c r="H116" s="15">
        <v>8527.4499999999989</v>
      </c>
      <c r="I116" s="15">
        <v>1</v>
      </c>
      <c r="J116" s="15" t="s">
        <v>38</v>
      </c>
      <c r="K116" s="15">
        <v>91</v>
      </c>
      <c r="L116" s="15">
        <v>6268</v>
      </c>
      <c r="M116" s="15" t="s">
        <v>28</v>
      </c>
      <c r="N116" s="15" t="s">
        <v>19</v>
      </c>
      <c r="O116" s="15" t="s">
        <v>35</v>
      </c>
      <c r="P116" s="15" t="s">
        <v>21</v>
      </c>
      <c r="Q116" s="15">
        <v>5</v>
      </c>
      <c r="R116" s="15" t="s">
        <v>22</v>
      </c>
      <c r="S116" s="15" t="s">
        <v>32</v>
      </c>
      <c r="T116" s="15">
        <v>8</v>
      </c>
      <c r="U116" s="15" t="s">
        <v>17</v>
      </c>
      <c r="V116" s="4">
        <v>1</v>
      </c>
      <c r="W116" s="4">
        <v>0</v>
      </c>
      <c r="X116" s="8"/>
      <c r="Y116" s="3"/>
      <c r="Z116"/>
      <c r="AA116" s="3"/>
      <c r="AB116" s="2"/>
      <c r="AC116" s="3"/>
      <c r="AD116" s="20"/>
      <c r="AE116" s="11"/>
      <c r="AF116" s="10"/>
    </row>
    <row r="117" spans="1:32" x14ac:dyDescent="0.25">
      <c r="A117" s="16">
        <v>28</v>
      </c>
      <c r="B117" s="16" t="s">
        <v>44</v>
      </c>
      <c r="C117" s="14">
        <v>43871</v>
      </c>
      <c r="D117" s="11">
        <f t="shared" si="3"/>
        <v>44540</v>
      </c>
      <c r="E117" s="16">
        <v>40.200000000000003</v>
      </c>
      <c r="F117" s="16">
        <v>22</v>
      </c>
      <c r="G117" s="16">
        <v>40.200000000000003</v>
      </c>
      <c r="H117" s="16">
        <v>40.200000000000003</v>
      </c>
      <c r="I117" s="16">
        <v>2</v>
      </c>
      <c r="J117" s="16" t="s">
        <v>38</v>
      </c>
      <c r="K117" s="16">
        <v>65</v>
      </c>
      <c r="L117" s="16">
        <v>5828</v>
      </c>
      <c r="M117" s="16" t="s">
        <v>26</v>
      </c>
      <c r="N117" s="16" t="s">
        <v>19</v>
      </c>
      <c r="O117" s="16" t="s">
        <v>25</v>
      </c>
      <c r="P117" s="16" t="s">
        <v>21</v>
      </c>
      <c r="Q117" s="16">
        <v>1</v>
      </c>
      <c r="R117" s="16" t="s">
        <v>19</v>
      </c>
      <c r="S117" s="16" t="s">
        <v>23</v>
      </c>
      <c r="T117" s="16">
        <v>2</v>
      </c>
      <c r="U117" s="16" t="s">
        <v>38</v>
      </c>
      <c r="V117" s="4">
        <v>1</v>
      </c>
      <c r="W117" s="4">
        <v>0</v>
      </c>
      <c r="X117" s="8"/>
      <c r="Y117" s="3"/>
      <c r="Z117"/>
      <c r="AA117" s="3"/>
      <c r="AB117" s="2"/>
      <c r="AC117" s="3"/>
      <c r="AD117" s="20"/>
      <c r="AE117" s="11"/>
      <c r="AF117" s="10"/>
    </row>
    <row r="118" spans="1:32" x14ac:dyDescent="0.25">
      <c r="A118" s="15">
        <v>30</v>
      </c>
      <c r="B118" s="15" t="s">
        <v>50</v>
      </c>
      <c r="C118" s="13">
        <v>44447</v>
      </c>
      <c r="D118" s="11">
        <f t="shared" si="3"/>
        <v>44538</v>
      </c>
      <c r="E118" s="15">
        <v>100.45</v>
      </c>
      <c r="F118" s="15">
        <v>3</v>
      </c>
      <c r="G118" s="15">
        <v>1622.45</v>
      </c>
      <c r="H118" s="15">
        <v>2101.5100000000002</v>
      </c>
      <c r="I118" s="15">
        <v>3</v>
      </c>
      <c r="J118" s="15" t="s">
        <v>17</v>
      </c>
      <c r="K118" s="15">
        <v>87</v>
      </c>
      <c r="L118" s="15">
        <v>5508</v>
      </c>
      <c r="M118" s="15" t="s">
        <v>18</v>
      </c>
      <c r="N118" s="15" t="s">
        <v>19</v>
      </c>
      <c r="O118" s="15" t="s">
        <v>31</v>
      </c>
      <c r="P118" s="15" t="s">
        <v>21</v>
      </c>
      <c r="Q118" s="15">
        <v>3</v>
      </c>
      <c r="R118" s="15" t="s">
        <v>29</v>
      </c>
      <c r="S118" s="15" t="s">
        <v>27</v>
      </c>
      <c r="T118" s="15">
        <v>2</v>
      </c>
      <c r="U118" s="15" t="s">
        <v>38</v>
      </c>
      <c r="V118" s="4">
        <v>1</v>
      </c>
      <c r="W118" s="4">
        <v>1</v>
      </c>
      <c r="X118" s="8"/>
      <c r="Y118" s="3"/>
      <c r="Z118"/>
      <c r="AA118" s="3"/>
      <c r="AB118" s="2"/>
      <c r="AC118" s="3"/>
      <c r="AD118" s="20"/>
      <c r="AE118" s="11"/>
      <c r="AF118" s="10"/>
    </row>
    <row r="119" spans="1:32" x14ac:dyDescent="0.25">
      <c r="A119" s="16">
        <v>29</v>
      </c>
      <c r="B119" s="16" t="s">
        <v>53</v>
      </c>
      <c r="C119" s="14">
        <v>44113</v>
      </c>
      <c r="D119" s="11">
        <f t="shared" si="3"/>
        <v>44539</v>
      </c>
      <c r="E119" s="16">
        <v>79.2</v>
      </c>
      <c r="F119" s="16">
        <v>14</v>
      </c>
      <c r="G119" s="16">
        <v>79.2</v>
      </c>
      <c r="H119" s="16">
        <v>99.26</v>
      </c>
      <c r="I119" s="16">
        <v>3</v>
      </c>
      <c r="J119" s="16" t="s">
        <v>38</v>
      </c>
      <c r="K119" s="16">
        <v>76</v>
      </c>
      <c r="L119" s="16">
        <v>4363</v>
      </c>
      <c r="M119" s="16" t="s">
        <v>26</v>
      </c>
      <c r="N119" s="16" t="s">
        <v>29</v>
      </c>
      <c r="O119" s="16" t="s">
        <v>35</v>
      </c>
      <c r="P119" s="16" t="s">
        <v>21</v>
      </c>
      <c r="Q119" s="16">
        <v>2</v>
      </c>
      <c r="R119" s="16" t="s">
        <v>22</v>
      </c>
      <c r="S119" s="16" t="s">
        <v>27</v>
      </c>
      <c r="T119" s="16">
        <v>3</v>
      </c>
      <c r="U119" s="16" t="s">
        <v>38</v>
      </c>
      <c r="V119" s="4">
        <v>2</v>
      </c>
      <c r="W119" s="4">
        <v>0</v>
      </c>
      <c r="X119" s="8"/>
      <c r="Y119" s="3"/>
      <c r="Z119"/>
      <c r="AA119" s="3"/>
      <c r="AB119" s="2"/>
      <c r="AC119" s="3"/>
      <c r="AD119" s="20"/>
      <c r="AE119" s="11"/>
      <c r="AF119" s="10"/>
    </row>
    <row r="120" spans="1:32" x14ac:dyDescent="0.25">
      <c r="A120" s="15">
        <v>23</v>
      </c>
      <c r="B120" s="15" t="s">
        <v>48</v>
      </c>
      <c r="C120" s="13">
        <v>44324</v>
      </c>
      <c r="D120" s="11">
        <f t="shared" si="3"/>
        <v>44538</v>
      </c>
      <c r="E120" s="15">
        <v>105.25</v>
      </c>
      <c r="F120" s="15">
        <v>7</v>
      </c>
      <c r="G120" s="15">
        <v>6786.4</v>
      </c>
      <c r="H120" s="15">
        <v>7981.75</v>
      </c>
      <c r="I120" s="15">
        <v>1</v>
      </c>
      <c r="J120" s="15" t="s">
        <v>38</v>
      </c>
      <c r="K120" s="15">
        <v>91</v>
      </c>
      <c r="L120" s="15">
        <v>4196</v>
      </c>
      <c r="M120" s="15" t="s">
        <v>26</v>
      </c>
      <c r="N120" s="15" t="s">
        <v>19</v>
      </c>
      <c r="O120" s="15" t="s">
        <v>35</v>
      </c>
      <c r="P120" s="15" t="s">
        <v>21</v>
      </c>
      <c r="Q120" s="15">
        <v>1</v>
      </c>
      <c r="R120" s="15" t="s">
        <v>22</v>
      </c>
      <c r="S120" s="15" t="s">
        <v>23</v>
      </c>
      <c r="T120" s="15">
        <v>4</v>
      </c>
      <c r="U120" s="15" t="s">
        <v>17</v>
      </c>
      <c r="V120" s="4">
        <v>2</v>
      </c>
      <c r="W120" s="4">
        <v>0</v>
      </c>
      <c r="X120" s="8"/>
      <c r="Y120" s="3"/>
      <c r="Z120"/>
      <c r="AA120" s="3"/>
      <c r="AB120" s="2"/>
      <c r="AC120" s="3"/>
      <c r="AD120" s="20"/>
      <c r="AE120" s="11"/>
      <c r="AF120" s="10"/>
    </row>
    <row r="121" spans="1:32" x14ac:dyDescent="0.25">
      <c r="A121" s="16">
        <v>31</v>
      </c>
      <c r="B121" s="16" t="s">
        <v>46</v>
      </c>
      <c r="C121" s="14">
        <v>44531</v>
      </c>
      <c r="D121" s="11">
        <f t="shared" si="3"/>
        <v>44562</v>
      </c>
      <c r="E121" s="16">
        <v>69.599999999999994</v>
      </c>
      <c r="F121" s="16">
        <v>1</v>
      </c>
      <c r="G121" s="16">
        <v>69.599999999999994</v>
      </c>
      <c r="H121" s="16">
        <v>104.11</v>
      </c>
      <c r="I121" s="16">
        <v>1</v>
      </c>
      <c r="J121" s="16" t="s">
        <v>38</v>
      </c>
      <c r="K121" s="16">
        <v>96</v>
      </c>
      <c r="L121" s="16">
        <v>3438</v>
      </c>
      <c r="M121" s="16" t="s">
        <v>18</v>
      </c>
      <c r="N121" s="16" t="s">
        <v>19</v>
      </c>
      <c r="O121" s="16" t="s">
        <v>33</v>
      </c>
      <c r="P121" s="16" t="s">
        <v>34</v>
      </c>
      <c r="Q121" s="16">
        <v>1</v>
      </c>
      <c r="R121" s="16" t="s">
        <v>19</v>
      </c>
      <c r="S121" s="16" t="s">
        <v>32</v>
      </c>
      <c r="T121" s="16">
        <v>2</v>
      </c>
      <c r="U121" s="16" t="s">
        <v>17</v>
      </c>
      <c r="V121" s="4">
        <v>0</v>
      </c>
      <c r="W121" s="4">
        <v>0</v>
      </c>
      <c r="X121" s="8"/>
      <c r="Y121" s="3"/>
      <c r="Z121"/>
      <c r="AA121" s="3"/>
      <c r="AB121" s="2"/>
      <c r="AC121" s="3"/>
      <c r="AD121" s="20"/>
      <c r="AE121" s="11"/>
      <c r="AF121" s="10"/>
    </row>
    <row r="122" spans="1:32" x14ac:dyDescent="0.25">
      <c r="A122" s="15">
        <v>22</v>
      </c>
      <c r="B122" s="15" t="s">
        <v>47</v>
      </c>
      <c r="C122" s="13">
        <v>44276</v>
      </c>
      <c r="D122" s="11">
        <f t="shared" si="3"/>
        <v>44551</v>
      </c>
      <c r="E122" s="15">
        <v>60.05</v>
      </c>
      <c r="F122" s="15">
        <v>9</v>
      </c>
      <c r="G122" s="15">
        <v>1236.1500000000001</v>
      </c>
      <c r="H122" s="15">
        <v>1963.17</v>
      </c>
      <c r="I122" s="15">
        <v>1</v>
      </c>
      <c r="J122" s="15" t="s">
        <v>38</v>
      </c>
      <c r="K122" s="15">
        <v>70</v>
      </c>
      <c r="L122" s="15">
        <v>4716</v>
      </c>
      <c r="M122" s="15" t="s">
        <v>26</v>
      </c>
      <c r="N122" s="15" t="s">
        <v>29</v>
      </c>
      <c r="O122" s="15" t="s">
        <v>33</v>
      </c>
      <c r="P122" s="15" t="s">
        <v>21</v>
      </c>
      <c r="Q122" s="15">
        <v>3</v>
      </c>
      <c r="R122" s="15" t="s">
        <v>22</v>
      </c>
      <c r="S122" s="15" t="s">
        <v>32</v>
      </c>
      <c r="T122" s="15">
        <v>9</v>
      </c>
      <c r="U122" s="15" t="s">
        <v>38</v>
      </c>
      <c r="V122" s="4">
        <v>2</v>
      </c>
      <c r="W122" s="4">
        <v>0</v>
      </c>
      <c r="X122" s="8"/>
      <c r="Y122" s="3"/>
      <c r="Z122"/>
      <c r="AA122" s="3"/>
      <c r="AB122" s="2"/>
      <c r="AC122" s="3"/>
      <c r="AD122" s="20"/>
      <c r="AE122" s="11"/>
      <c r="AF122" s="10"/>
    </row>
    <row r="123" spans="1:32" x14ac:dyDescent="0.25">
      <c r="A123" s="16">
        <v>40</v>
      </c>
      <c r="B123" s="16" t="s">
        <v>45</v>
      </c>
      <c r="C123" s="14">
        <v>43987</v>
      </c>
      <c r="D123" s="11">
        <f t="shared" si="3"/>
        <v>44535</v>
      </c>
      <c r="E123" s="16">
        <v>94.75</v>
      </c>
      <c r="F123" s="16">
        <v>18</v>
      </c>
      <c r="G123" s="16">
        <v>2293.6</v>
      </c>
      <c r="H123" s="16">
        <v>3010.51</v>
      </c>
      <c r="I123" s="16">
        <v>2</v>
      </c>
      <c r="J123" s="16" t="s">
        <v>38</v>
      </c>
      <c r="K123" s="16">
        <v>95</v>
      </c>
      <c r="L123" s="16">
        <v>2740</v>
      </c>
      <c r="M123" s="16" t="s">
        <v>28</v>
      </c>
      <c r="N123" s="16" t="s">
        <v>29</v>
      </c>
      <c r="O123" s="16" t="s">
        <v>35</v>
      </c>
      <c r="P123" s="16" t="s">
        <v>21</v>
      </c>
      <c r="Q123" s="16">
        <v>2</v>
      </c>
      <c r="R123" s="16" t="s">
        <v>22</v>
      </c>
      <c r="S123" s="16" t="s">
        <v>32</v>
      </c>
      <c r="T123" s="16">
        <v>1</v>
      </c>
      <c r="U123" s="16" t="s">
        <v>17</v>
      </c>
      <c r="V123" s="4">
        <v>0</v>
      </c>
      <c r="W123" s="4">
        <v>0</v>
      </c>
      <c r="X123" s="8"/>
      <c r="Y123" s="3"/>
      <c r="Z123"/>
      <c r="AA123" s="3"/>
      <c r="AB123" s="2"/>
      <c r="AC123" s="3"/>
      <c r="AD123" s="20"/>
      <c r="AE123" s="11"/>
      <c r="AF123" s="10"/>
    </row>
    <row r="124" spans="1:32" x14ac:dyDescent="0.25">
      <c r="A124" s="15">
        <v>20</v>
      </c>
      <c r="B124" s="15" t="s">
        <v>45</v>
      </c>
      <c r="C124" s="13">
        <v>44127</v>
      </c>
      <c r="D124" s="11">
        <f t="shared" si="3"/>
        <v>44553</v>
      </c>
      <c r="E124" s="15">
        <v>98.5</v>
      </c>
      <c r="F124" s="15">
        <v>14</v>
      </c>
      <c r="G124" s="15">
        <v>3004.15</v>
      </c>
      <c r="H124" s="15">
        <v>3754.22</v>
      </c>
      <c r="I124" s="15">
        <v>3</v>
      </c>
      <c r="J124" s="15" t="s">
        <v>38</v>
      </c>
      <c r="K124" s="15">
        <v>72</v>
      </c>
      <c r="L124" s="15">
        <v>5137</v>
      </c>
      <c r="M124" s="15" t="s">
        <v>18</v>
      </c>
      <c r="N124" s="15" t="s">
        <v>22</v>
      </c>
      <c r="O124" s="15" t="s">
        <v>20</v>
      </c>
      <c r="P124" s="15" t="s">
        <v>21</v>
      </c>
      <c r="Q124" s="15">
        <v>2</v>
      </c>
      <c r="R124" s="15" t="s">
        <v>29</v>
      </c>
      <c r="S124" s="15" t="s">
        <v>27</v>
      </c>
      <c r="T124" s="15">
        <v>1</v>
      </c>
      <c r="U124" s="15" t="s">
        <v>38</v>
      </c>
      <c r="V124" s="4">
        <v>1</v>
      </c>
      <c r="W124" s="4">
        <v>0</v>
      </c>
      <c r="X124" s="8"/>
      <c r="Y124" s="3"/>
      <c r="Z124"/>
      <c r="AA124" s="3"/>
      <c r="AB124" s="2"/>
      <c r="AC124" s="3"/>
      <c r="AD124" s="20"/>
      <c r="AE124" s="11"/>
      <c r="AF124" s="10"/>
    </row>
    <row r="125" spans="1:32" x14ac:dyDescent="0.25">
      <c r="A125" s="16">
        <v>23</v>
      </c>
      <c r="B125" s="16" t="s">
        <v>50</v>
      </c>
      <c r="C125" s="14">
        <v>44363</v>
      </c>
      <c r="D125" s="11">
        <f t="shared" si="3"/>
        <v>44546</v>
      </c>
      <c r="E125" s="16">
        <v>76.45</v>
      </c>
      <c r="F125" s="16">
        <v>6</v>
      </c>
      <c r="G125" s="16">
        <v>503.6</v>
      </c>
      <c r="H125" s="16">
        <v>681.2</v>
      </c>
      <c r="I125" s="16">
        <v>2</v>
      </c>
      <c r="J125" s="16" t="s">
        <v>38</v>
      </c>
      <c r="K125" s="16">
        <v>81</v>
      </c>
      <c r="L125" s="16">
        <v>4419</v>
      </c>
      <c r="M125" s="16" t="s">
        <v>26</v>
      </c>
      <c r="N125" s="16" t="s">
        <v>22</v>
      </c>
      <c r="O125" s="16" t="s">
        <v>33</v>
      </c>
      <c r="P125" s="16" t="s">
        <v>21</v>
      </c>
      <c r="Q125" s="16">
        <v>2</v>
      </c>
      <c r="R125" s="16" t="s">
        <v>19</v>
      </c>
      <c r="S125" s="16" t="s">
        <v>23</v>
      </c>
      <c r="T125" s="16">
        <v>2</v>
      </c>
      <c r="U125" s="16" t="s">
        <v>17</v>
      </c>
      <c r="V125" s="4">
        <v>2</v>
      </c>
      <c r="W125" s="4">
        <v>0</v>
      </c>
      <c r="X125" s="8"/>
      <c r="Y125" s="3"/>
      <c r="Z125"/>
      <c r="AA125" s="3"/>
      <c r="AB125" s="2"/>
      <c r="AC125" s="3"/>
      <c r="AD125" s="20"/>
      <c r="AE125" s="11"/>
      <c r="AF125" s="10"/>
    </row>
    <row r="126" spans="1:32" x14ac:dyDescent="0.25">
      <c r="A126" s="15">
        <v>37</v>
      </c>
      <c r="B126" s="15" t="s">
        <v>46</v>
      </c>
      <c r="C126" s="13">
        <v>44162</v>
      </c>
      <c r="D126" s="11">
        <f t="shared" si="3"/>
        <v>44557</v>
      </c>
      <c r="E126" s="15">
        <v>74.7</v>
      </c>
      <c r="F126" s="15">
        <v>13</v>
      </c>
      <c r="G126" s="15">
        <v>165.4</v>
      </c>
      <c r="H126" s="15">
        <v>178.42</v>
      </c>
      <c r="I126" s="15">
        <v>2</v>
      </c>
      <c r="J126" s="15" t="s">
        <v>17</v>
      </c>
      <c r="K126" s="15">
        <v>81</v>
      </c>
      <c r="L126" s="15">
        <v>2803</v>
      </c>
      <c r="M126" s="15" t="s">
        <v>18</v>
      </c>
      <c r="N126" s="15" t="s">
        <v>29</v>
      </c>
      <c r="O126" s="15" t="s">
        <v>33</v>
      </c>
      <c r="P126" s="15" t="s">
        <v>21</v>
      </c>
      <c r="Q126" s="15">
        <v>2</v>
      </c>
      <c r="R126" s="15" t="s">
        <v>22</v>
      </c>
      <c r="S126" s="15" t="s">
        <v>23</v>
      </c>
      <c r="T126" s="15">
        <v>7</v>
      </c>
      <c r="U126" s="15" t="s">
        <v>17</v>
      </c>
      <c r="V126" s="4">
        <v>0</v>
      </c>
      <c r="W126" s="4">
        <v>1</v>
      </c>
      <c r="X126" s="8"/>
      <c r="Y126" s="3"/>
      <c r="Z126"/>
      <c r="AA126" s="3"/>
      <c r="AB126" s="2"/>
      <c r="AC126" s="3"/>
      <c r="AD126" s="20"/>
      <c r="AE126" s="11"/>
      <c r="AF126" s="10"/>
    </row>
    <row r="127" spans="1:32" x14ac:dyDescent="0.25">
      <c r="A127" s="16">
        <v>38</v>
      </c>
      <c r="B127" s="16" t="s">
        <v>47</v>
      </c>
      <c r="C127" s="14">
        <v>44218</v>
      </c>
      <c r="D127" s="11">
        <f t="shared" si="3"/>
        <v>44552</v>
      </c>
      <c r="E127" s="16">
        <v>99.5</v>
      </c>
      <c r="F127" s="16">
        <v>11</v>
      </c>
      <c r="G127" s="16">
        <v>6822.15</v>
      </c>
      <c r="H127" s="16">
        <v>8726.91</v>
      </c>
      <c r="I127" s="16">
        <v>1</v>
      </c>
      <c r="J127" s="16" t="s">
        <v>17</v>
      </c>
      <c r="K127" s="16">
        <v>96</v>
      </c>
      <c r="L127" s="16">
        <v>4479</v>
      </c>
      <c r="M127" s="16" t="s">
        <v>18</v>
      </c>
      <c r="N127" s="16" t="s">
        <v>29</v>
      </c>
      <c r="O127" s="16" t="s">
        <v>25</v>
      </c>
      <c r="P127" s="16" t="s">
        <v>21</v>
      </c>
      <c r="Q127" s="16">
        <v>2</v>
      </c>
      <c r="R127" s="16" t="s">
        <v>29</v>
      </c>
      <c r="S127" s="16" t="s">
        <v>32</v>
      </c>
      <c r="T127" s="16">
        <v>2</v>
      </c>
      <c r="U127" s="16" t="s">
        <v>17</v>
      </c>
      <c r="V127" s="4">
        <v>2</v>
      </c>
      <c r="W127" s="4">
        <v>1</v>
      </c>
      <c r="X127" s="8"/>
      <c r="Y127" s="3"/>
      <c r="Z127"/>
      <c r="AA127" s="3"/>
      <c r="AB127" s="2"/>
      <c r="AC127" s="3"/>
      <c r="AD127" s="20"/>
      <c r="AE127" s="11"/>
      <c r="AF127" s="10"/>
    </row>
    <row r="128" spans="1:32" x14ac:dyDescent="0.25">
      <c r="A128" s="15">
        <v>31</v>
      </c>
      <c r="B128" s="15" t="s">
        <v>47</v>
      </c>
      <c r="C128" s="13">
        <v>44411</v>
      </c>
      <c r="D128" s="11">
        <f t="shared" si="3"/>
        <v>44533</v>
      </c>
      <c r="E128" s="15">
        <v>105.65</v>
      </c>
      <c r="F128" s="15">
        <v>4</v>
      </c>
      <c r="G128" s="15">
        <v>4284.8</v>
      </c>
      <c r="H128" s="15">
        <v>5581.55</v>
      </c>
      <c r="I128" s="15">
        <v>3</v>
      </c>
      <c r="J128" s="15" t="s">
        <v>38</v>
      </c>
      <c r="K128" s="15">
        <v>96</v>
      </c>
      <c r="L128" s="15">
        <v>4687</v>
      </c>
      <c r="M128" s="15" t="s">
        <v>26</v>
      </c>
      <c r="N128" s="15" t="s">
        <v>22</v>
      </c>
      <c r="O128" s="15" t="s">
        <v>33</v>
      </c>
      <c r="P128" s="15" t="s">
        <v>21</v>
      </c>
      <c r="Q128" s="15">
        <v>3</v>
      </c>
      <c r="R128" s="15" t="s">
        <v>29</v>
      </c>
      <c r="S128" s="15" t="s">
        <v>23</v>
      </c>
      <c r="T128" s="15">
        <v>7</v>
      </c>
      <c r="U128" s="15" t="s">
        <v>38</v>
      </c>
      <c r="V128" s="4">
        <v>2</v>
      </c>
      <c r="W128" s="4">
        <v>0</v>
      </c>
      <c r="X128" s="8"/>
      <c r="Y128" s="3"/>
      <c r="Z128"/>
      <c r="AA128" s="3"/>
      <c r="AB128" s="2"/>
      <c r="AC128" s="3"/>
      <c r="AD128" s="20"/>
      <c r="AE128" s="11"/>
      <c r="AF128" s="10"/>
    </row>
    <row r="129" spans="1:32" x14ac:dyDescent="0.25">
      <c r="A129" s="16">
        <v>28</v>
      </c>
      <c r="B129" s="16" t="s">
        <v>53</v>
      </c>
      <c r="C129" s="14">
        <v>44010</v>
      </c>
      <c r="D129" s="11">
        <f t="shared" si="3"/>
        <v>44558</v>
      </c>
      <c r="E129" s="16">
        <v>85.7</v>
      </c>
      <c r="F129" s="16">
        <v>18</v>
      </c>
      <c r="G129" s="16">
        <v>85.7</v>
      </c>
      <c r="H129" s="16">
        <v>131.51</v>
      </c>
      <c r="I129" s="16">
        <v>1</v>
      </c>
      <c r="J129" s="16" t="s">
        <v>17</v>
      </c>
      <c r="K129" s="16">
        <v>66</v>
      </c>
      <c r="L129" s="16">
        <v>4880</v>
      </c>
      <c r="M129" s="16" t="s">
        <v>24</v>
      </c>
      <c r="N129" s="16" t="s">
        <v>19</v>
      </c>
      <c r="O129" s="16" t="s">
        <v>31</v>
      </c>
      <c r="P129" s="16" t="s">
        <v>21</v>
      </c>
      <c r="Q129" s="16">
        <v>3</v>
      </c>
      <c r="R129" s="16" t="s">
        <v>29</v>
      </c>
      <c r="S129" s="16" t="s">
        <v>23</v>
      </c>
      <c r="T129" s="16">
        <v>1</v>
      </c>
      <c r="U129" s="16" t="s">
        <v>38</v>
      </c>
      <c r="V129" s="4">
        <v>2</v>
      </c>
      <c r="W129" s="4">
        <v>1</v>
      </c>
      <c r="X129" s="8"/>
      <c r="Y129" s="3"/>
      <c r="Z129"/>
      <c r="AA129" s="3"/>
      <c r="AB129" s="2"/>
      <c r="AC129" s="3"/>
      <c r="AD129" s="20"/>
      <c r="AE129" s="11"/>
      <c r="AF129" s="10"/>
    </row>
    <row r="130" spans="1:32" x14ac:dyDescent="0.25">
      <c r="A130" s="15">
        <v>27</v>
      </c>
      <c r="B130" s="15" t="s">
        <v>51</v>
      </c>
      <c r="C130" s="13">
        <v>44208</v>
      </c>
      <c r="D130" s="11">
        <f t="shared" ref="D130:D151" si="4">EDATE(C130,F130)</f>
        <v>44542</v>
      </c>
      <c r="E130" s="15">
        <v>45.05</v>
      </c>
      <c r="F130" s="15">
        <v>11</v>
      </c>
      <c r="G130" s="15">
        <v>770.6</v>
      </c>
      <c r="H130" s="15">
        <v>1466.41</v>
      </c>
      <c r="I130" s="15">
        <v>1</v>
      </c>
      <c r="J130" s="15" t="s">
        <v>17</v>
      </c>
      <c r="K130" s="15">
        <v>93</v>
      </c>
      <c r="L130" s="15">
        <v>3797</v>
      </c>
      <c r="M130" s="15" t="s">
        <v>18</v>
      </c>
      <c r="N130" s="15" t="s">
        <v>22</v>
      </c>
      <c r="O130" s="15" t="s">
        <v>20</v>
      </c>
      <c r="P130" s="15" t="s">
        <v>21</v>
      </c>
      <c r="Q130" s="15">
        <v>3</v>
      </c>
      <c r="R130" s="15" t="s">
        <v>19</v>
      </c>
      <c r="S130" s="15" t="s">
        <v>32</v>
      </c>
      <c r="T130" s="15">
        <v>5</v>
      </c>
      <c r="U130" s="15" t="s">
        <v>17</v>
      </c>
      <c r="V130" s="4">
        <v>2</v>
      </c>
      <c r="W130" s="4">
        <v>1</v>
      </c>
      <c r="X130" s="8"/>
      <c r="Y130" s="3"/>
      <c r="Z130"/>
      <c r="AA130" s="3"/>
      <c r="AB130" s="2"/>
      <c r="AC130" s="3"/>
      <c r="AD130" s="20"/>
      <c r="AE130" s="11"/>
      <c r="AF130" s="10"/>
    </row>
    <row r="131" spans="1:32" x14ac:dyDescent="0.25">
      <c r="A131" s="16">
        <v>39</v>
      </c>
      <c r="B131" s="16" t="s">
        <v>46</v>
      </c>
      <c r="C131" s="14">
        <v>44303</v>
      </c>
      <c r="D131" s="11">
        <f t="shared" si="4"/>
        <v>44547</v>
      </c>
      <c r="E131" s="16">
        <v>93.15</v>
      </c>
      <c r="F131" s="16">
        <v>8</v>
      </c>
      <c r="G131" s="16">
        <v>2231.0500000000002</v>
      </c>
      <c r="H131" s="16">
        <v>2617.4499999999998</v>
      </c>
      <c r="I131" s="16">
        <v>2</v>
      </c>
      <c r="J131" s="16" t="s">
        <v>38</v>
      </c>
      <c r="K131" s="16">
        <v>73</v>
      </c>
      <c r="L131" s="16">
        <v>2212</v>
      </c>
      <c r="M131" s="16" t="s">
        <v>28</v>
      </c>
      <c r="N131" s="16" t="s">
        <v>22</v>
      </c>
      <c r="O131" s="16" t="s">
        <v>33</v>
      </c>
      <c r="P131" s="16" t="s">
        <v>21</v>
      </c>
      <c r="Q131" s="16">
        <v>1</v>
      </c>
      <c r="R131" s="16" t="s">
        <v>29</v>
      </c>
      <c r="S131" s="16" t="s">
        <v>23</v>
      </c>
      <c r="T131" s="16">
        <v>6</v>
      </c>
      <c r="U131" s="16" t="s">
        <v>38</v>
      </c>
      <c r="V131" s="4">
        <v>0</v>
      </c>
      <c r="W131" s="4">
        <v>0</v>
      </c>
      <c r="X131" s="8"/>
      <c r="Y131" s="3"/>
      <c r="Z131"/>
      <c r="AA131" s="3"/>
      <c r="AB131" s="2"/>
      <c r="AC131" s="3"/>
      <c r="AD131" s="20"/>
      <c r="AE131" s="11"/>
      <c r="AF131" s="10"/>
    </row>
    <row r="132" spans="1:32" x14ac:dyDescent="0.25">
      <c r="A132" s="15">
        <v>37</v>
      </c>
      <c r="B132" s="15" t="s">
        <v>49</v>
      </c>
      <c r="C132" s="13">
        <v>44503</v>
      </c>
      <c r="D132" s="11">
        <f t="shared" si="4"/>
        <v>44533</v>
      </c>
      <c r="E132" s="15">
        <v>89.5</v>
      </c>
      <c r="F132" s="15">
        <v>1</v>
      </c>
      <c r="G132" s="15">
        <v>676.7</v>
      </c>
      <c r="H132" s="15">
        <v>772.11</v>
      </c>
      <c r="I132" s="15">
        <v>2</v>
      </c>
      <c r="J132" s="15" t="s">
        <v>38</v>
      </c>
      <c r="K132" s="15">
        <v>89</v>
      </c>
      <c r="L132" s="15">
        <v>3077</v>
      </c>
      <c r="M132" s="15" t="s">
        <v>26</v>
      </c>
      <c r="N132" s="15" t="s">
        <v>29</v>
      </c>
      <c r="O132" s="15" t="s">
        <v>35</v>
      </c>
      <c r="P132" s="15" t="s">
        <v>21</v>
      </c>
      <c r="Q132" s="15">
        <v>3</v>
      </c>
      <c r="R132" s="15" t="s">
        <v>22</v>
      </c>
      <c r="S132" s="15" t="s">
        <v>32</v>
      </c>
      <c r="T132" s="15">
        <v>7</v>
      </c>
      <c r="U132" s="15" t="s">
        <v>17</v>
      </c>
      <c r="V132" s="4">
        <v>0</v>
      </c>
      <c r="W132" s="4">
        <v>0</v>
      </c>
      <c r="X132" s="8"/>
      <c r="Y132" s="3"/>
      <c r="Z132"/>
      <c r="AA132" s="3"/>
      <c r="AB132" s="2"/>
      <c r="AC132" s="3"/>
      <c r="AD132" s="20"/>
      <c r="AE132" s="11"/>
      <c r="AF132" s="10"/>
    </row>
    <row r="133" spans="1:32" x14ac:dyDescent="0.25">
      <c r="A133" s="16">
        <v>40</v>
      </c>
      <c r="B133" s="16" t="s">
        <v>49</v>
      </c>
      <c r="C133" s="14">
        <v>44106</v>
      </c>
      <c r="D133" s="11">
        <f t="shared" si="4"/>
        <v>44532</v>
      </c>
      <c r="E133" s="16">
        <v>74.900000000000006</v>
      </c>
      <c r="F133" s="16">
        <v>14</v>
      </c>
      <c r="G133" s="16">
        <v>2303.35</v>
      </c>
      <c r="H133" s="16">
        <v>3818.23</v>
      </c>
      <c r="I133" s="16">
        <v>2</v>
      </c>
      <c r="J133" s="16" t="s">
        <v>38</v>
      </c>
      <c r="K133" s="16">
        <v>69</v>
      </c>
      <c r="L133" s="16">
        <v>4105</v>
      </c>
      <c r="M133" s="16" t="s">
        <v>18</v>
      </c>
      <c r="N133" s="16" t="s">
        <v>22</v>
      </c>
      <c r="O133" s="16" t="s">
        <v>35</v>
      </c>
      <c r="P133" s="16" t="s">
        <v>21</v>
      </c>
      <c r="Q133" s="16">
        <v>4</v>
      </c>
      <c r="R133" s="16" t="s">
        <v>19</v>
      </c>
      <c r="S133" s="16" t="s">
        <v>23</v>
      </c>
      <c r="T133" s="16">
        <v>4</v>
      </c>
      <c r="U133" s="16" t="s">
        <v>38</v>
      </c>
      <c r="V133" s="4">
        <v>2</v>
      </c>
      <c r="W133" s="4">
        <v>0</v>
      </c>
      <c r="X133" s="8"/>
      <c r="Y133" s="3"/>
      <c r="Z133"/>
      <c r="AA133" s="3"/>
      <c r="AB133" s="2"/>
      <c r="AC133" s="3"/>
      <c r="AD133" s="20"/>
      <c r="AE133" s="11"/>
      <c r="AF133" s="10"/>
    </row>
    <row r="134" spans="1:32" x14ac:dyDescent="0.25">
      <c r="A134" s="15">
        <v>37</v>
      </c>
      <c r="B134" s="15" t="s">
        <v>45</v>
      </c>
      <c r="C134" s="13">
        <v>43910</v>
      </c>
      <c r="D134" s="11">
        <f t="shared" si="4"/>
        <v>44550</v>
      </c>
      <c r="E134" s="15">
        <v>100</v>
      </c>
      <c r="F134" s="15">
        <v>21</v>
      </c>
      <c r="G134" s="15">
        <v>5509.3</v>
      </c>
      <c r="H134" s="15">
        <v>7665.2000000000007</v>
      </c>
      <c r="I134" s="15">
        <v>3</v>
      </c>
      <c r="J134" s="15" t="s">
        <v>38</v>
      </c>
      <c r="K134" s="15">
        <v>83</v>
      </c>
      <c r="L134" s="15">
        <v>5679</v>
      </c>
      <c r="M134" s="15" t="s">
        <v>24</v>
      </c>
      <c r="N134" s="15" t="s">
        <v>19</v>
      </c>
      <c r="O134" s="15" t="s">
        <v>35</v>
      </c>
      <c r="P134" s="15" t="s">
        <v>21</v>
      </c>
      <c r="Q134" s="15">
        <v>4</v>
      </c>
      <c r="R134" s="15" t="s">
        <v>19</v>
      </c>
      <c r="S134" s="15" t="s">
        <v>23</v>
      </c>
      <c r="T134" s="15">
        <v>1</v>
      </c>
      <c r="U134" s="15" t="s">
        <v>38</v>
      </c>
      <c r="V134" s="4">
        <v>1</v>
      </c>
      <c r="W134" s="4">
        <v>0</v>
      </c>
      <c r="X134" s="8"/>
      <c r="Y134" s="3"/>
      <c r="Z134"/>
      <c r="AA134" s="3"/>
      <c r="AB134" s="2"/>
      <c r="AC134" s="3"/>
      <c r="AD134" s="20"/>
      <c r="AE134" s="11"/>
      <c r="AF134" s="10"/>
    </row>
    <row r="135" spans="1:32" x14ac:dyDescent="0.25">
      <c r="A135" s="16">
        <v>33</v>
      </c>
      <c r="B135" s="16" t="s">
        <v>48</v>
      </c>
      <c r="C135" s="14">
        <v>44523</v>
      </c>
      <c r="D135" s="11">
        <f t="shared" si="4"/>
        <v>44553</v>
      </c>
      <c r="E135" s="16">
        <v>103.75</v>
      </c>
      <c r="F135" s="16">
        <v>1</v>
      </c>
      <c r="G135" s="16">
        <v>6383.35</v>
      </c>
      <c r="H135" s="16">
        <v>6824.17</v>
      </c>
      <c r="I135" s="16">
        <v>1</v>
      </c>
      <c r="J135" s="16" t="s">
        <v>17</v>
      </c>
      <c r="K135" s="16">
        <v>91</v>
      </c>
      <c r="L135" s="16">
        <v>5052</v>
      </c>
      <c r="M135" s="16" t="s">
        <v>18</v>
      </c>
      <c r="N135" s="16" t="s">
        <v>22</v>
      </c>
      <c r="O135" s="16" t="s">
        <v>33</v>
      </c>
      <c r="P135" s="16" t="s">
        <v>21</v>
      </c>
      <c r="Q135" s="16">
        <v>1</v>
      </c>
      <c r="R135" s="16" t="s">
        <v>19</v>
      </c>
      <c r="S135" s="16" t="s">
        <v>23</v>
      </c>
      <c r="T135" s="16">
        <v>8</v>
      </c>
      <c r="U135" s="16" t="s">
        <v>17</v>
      </c>
      <c r="V135" s="4">
        <v>1</v>
      </c>
      <c r="W135" s="4">
        <v>1</v>
      </c>
      <c r="X135" s="8"/>
      <c r="Y135" s="3"/>
      <c r="Z135"/>
      <c r="AA135" s="3"/>
      <c r="AB135" s="2"/>
      <c r="AC135" s="3"/>
      <c r="AD135" s="20"/>
      <c r="AE135" s="11"/>
      <c r="AF135" s="10"/>
    </row>
    <row r="136" spans="1:32" x14ac:dyDescent="0.25">
      <c r="A136" s="15">
        <v>27</v>
      </c>
      <c r="B136" s="15" t="s">
        <v>48</v>
      </c>
      <c r="C136" s="13">
        <v>43993</v>
      </c>
      <c r="D136" s="11">
        <f t="shared" si="4"/>
        <v>44541</v>
      </c>
      <c r="E136" s="15">
        <v>50.4</v>
      </c>
      <c r="F136" s="15">
        <v>18</v>
      </c>
      <c r="G136" s="15">
        <v>1527.5</v>
      </c>
      <c r="H136" s="15">
        <v>1667</v>
      </c>
      <c r="I136" s="15">
        <v>3</v>
      </c>
      <c r="J136" s="15" t="s">
        <v>38</v>
      </c>
      <c r="K136" s="15">
        <v>83</v>
      </c>
      <c r="L136" s="15">
        <v>4795</v>
      </c>
      <c r="M136" s="15" t="s">
        <v>26</v>
      </c>
      <c r="N136" s="15" t="s">
        <v>29</v>
      </c>
      <c r="O136" s="15" t="s">
        <v>35</v>
      </c>
      <c r="P136" s="15" t="s">
        <v>34</v>
      </c>
      <c r="Q136" s="15">
        <v>2</v>
      </c>
      <c r="R136" s="15" t="s">
        <v>19</v>
      </c>
      <c r="S136" s="15" t="s">
        <v>27</v>
      </c>
      <c r="T136" s="15">
        <v>5</v>
      </c>
      <c r="U136" s="15" t="s">
        <v>38</v>
      </c>
      <c r="V136" s="4">
        <v>2</v>
      </c>
      <c r="W136" s="4">
        <v>0</v>
      </c>
      <c r="X136" s="8"/>
      <c r="Y136" s="3"/>
      <c r="Z136"/>
      <c r="AA136" s="3"/>
      <c r="AB136" s="2"/>
      <c r="AC136" s="3"/>
      <c r="AD136" s="20"/>
      <c r="AE136" s="11"/>
      <c r="AF136" s="10"/>
    </row>
    <row r="137" spans="1:32" x14ac:dyDescent="0.25">
      <c r="A137" s="16">
        <v>28</v>
      </c>
      <c r="B137" s="16" t="s">
        <v>53</v>
      </c>
      <c r="C137" s="14">
        <v>44470</v>
      </c>
      <c r="D137" s="11">
        <f t="shared" si="4"/>
        <v>44562</v>
      </c>
      <c r="E137" s="16">
        <v>100.6</v>
      </c>
      <c r="F137" s="16">
        <v>3</v>
      </c>
      <c r="G137" s="16">
        <v>819.4</v>
      </c>
      <c r="H137" s="16">
        <v>1143</v>
      </c>
      <c r="I137" s="16">
        <v>1</v>
      </c>
      <c r="J137" s="16" t="s">
        <v>17</v>
      </c>
      <c r="K137" s="16">
        <v>90</v>
      </c>
      <c r="L137" s="16">
        <v>5906</v>
      </c>
      <c r="M137" s="16" t="s">
        <v>28</v>
      </c>
      <c r="N137" s="16" t="s">
        <v>19</v>
      </c>
      <c r="O137" s="16" t="s">
        <v>35</v>
      </c>
      <c r="P137" s="16" t="s">
        <v>21</v>
      </c>
      <c r="Q137" s="16">
        <v>4</v>
      </c>
      <c r="R137" s="16" t="s">
        <v>29</v>
      </c>
      <c r="S137" s="16" t="s">
        <v>27</v>
      </c>
      <c r="T137" s="16">
        <v>10</v>
      </c>
      <c r="U137" s="16" t="s">
        <v>17</v>
      </c>
      <c r="V137" s="4">
        <v>1</v>
      </c>
      <c r="W137" s="4">
        <v>1</v>
      </c>
      <c r="X137" s="8"/>
      <c r="Y137" s="3"/>
      <c r="Z137"/>
      <c r="AA137" s="3"/>
      <c r="AB137" s="2"/>
      <c r="AC137" s="3"/>
      <c r="AD137" s="20"/>
      <c r="AE137" s="11"/>
      <c r="AF137" s="10"/>
    </row>
    <row r="138" spans="1:32" x14ac:dyDescent="0.25">
      <c r="A138" s="15">
        <v>27</v>
      </c>
      <c r="B138" s="15" t="s">
        <v>51</v>
      </c>
      <c r="C138" s="13">
        <v>44156</v>
      </c>
      <c r="D138" s="11">
        <f t="shared" si="4"/>
        <v>44551</v>
      </c>
      <c r="E138" s="15">
        <v>74.7</v>
      </c>
      <c r="F138" s="15">
        <v>13</v>
      </c>
      <c r="G138" s="15">
        <v>74.7</v>
      </c>
      <c r="H138" s="15">
        <v>86.04</v>
      </c>
      <c r="I138" s="15">
        <v>1</v>
      </c>
      <c r="J138" s="15" t="s">
        <v>38</v>
      </c>
      <c r="K138" s="15">
        <v>88</v>
      </c>
      <c r="L138" s="15">
        <v>3348</v>
      </c>
      <c r="M138" s="15" t="s">
        <v>18</v>
      </c>
      <c r="N138" s="15" t="s">
        <v>22</v>
      </c>
      <c r="O138" s="15" t="s">
        <v>35</v>
      </c>
      <c r="P138" s="15" t="s">
        <v>21</v>
      </c>
      <c r="Q138" s="15">
        <v>5</v>
      </c>
      <c r="R138" s="15" t="s">
        <v>19</v>
      </c>
      <c r="S138" s="15" t="s">
        <v>30</v>
      </c>
      <c r="T138" s="15">
        <v>5</v>
      </c>
      <c r="U138" s="15" t="s">
        <v>17</v>
      </c>
      <c r="V138" s="4">
        <v>0</v>
      </c>
      <c r="W138" s="4">
        <v>0</v>
      </c>
      <c r="X138" s="8"/>
      <c r="Y138" s="3"/>
      <c r="Z138"/>
      <c r="AA138" s="3"/>
      <c r="AB138" s="2"/>
      <c r="AC138" s="3"/>
      <c r="AD138" s="20"/>
      <c r="AE138" s="11"/>
      <c r="AF138" s="10"/>
    </row>
    <row r="139" spans="1:32" x14ac:dyDescent="0.25">
      <c r="A139" s="16">
        <v>24</v>
      </c>
      <c r="B139" s="16" t="s">
        <v>45</v>
      </c>
      <c r="C139" s="14">
        <v>43939</v>
      </c>
      <c r="D139" s="11">
        <f t="shared" si="4"/>
        <v>44548</v>
      </c>
      <c r="E139" s="16">
        <v>74.3</v>
      </c>
      <c r="F139" s="16">
        <v>20</v>
      </c>
      <c r="G139" s="16">
        <v>940.35</v>
      </c>
      <c r="H139" s="16">
        <v>1465.16</v>
      </c>
      <c r="I139" s="16">
        <v>1</v>
      </c>
      <c r="J139" s="16" t="s">
        <v>38</v>
      </c>
      <c r="K139" s="16">
        <v>90</v>
      </c>
      <c r="L139" s="16">
        <v>2995</v>
      </c>
      <c r="M139" s="16" t="s">
        <v>26</v>
      </c>
      <c r="N139" s="16" t="s">
        <v>22</v>
      </c>
      <c r="O139" s="16" t="s">
        <v>31</v>
      </c>
      <c r="P139" s="16" t="s">
        <v>21</v>
      </c>
      <c r="Q139" s="16">
        <v>5</v>
      </c>
      <c r="R139" s="16" t="s">
        <v>19</v>
      </c>
      <c r="S139" s="16" t="s">
        <v>32</v>
      </c>
      <c r="T139" s="16">
        <v>7</v>
      </c>
      <c r="U139" s="16" t="s">
        <v>17</v>
      </c>
      <c r="V139" s="4">
        <v>0</v>
      </c>
      <c r="W139" s="4">
        <v>0</v>
      </c>
      <c r="X139" s="8"/>
      <c r="Y139" s="3"/>
      <c r="Z139"/>
      <c r="AA139" s="3"/>
      <c r="AB139" s="2"/>
      <c r="AC139" s="3"/>
      <c r="AD139" s="20"/>
      <c r="AE139" s="11"/>
      <c r="AF139" s="10"/>
    </row>
    <row r="140" spans="1:32" x14ac:dyDescent="0.25">
      <c r="A140" s="15">
        <v>33</v>
      </c>
      <c r="B140" s="15" t="s">
        <v>51</v>
      </c>
      <c r="C140" s="13">
        <v>44491</v>
      </c>
      <c r="D140" s="11">
        <f t="shared" si="4"/>
        <v>44552</v>
      </c>
      <c r="E140" s="15">
        <v>94.25</v>
      </c>
      <c r="F140" s="15">
        <v>2</v>
      </c>
      <c r="G140" s="15">
        <v>3217.55</v>
      </c>
      <c r="H140" s="15">
        <v>3315.47</v>
      </c>
      <c r="I140" s="15">
        <v>1</v>
      </c>
      <c r="J140" s="15" t="s">
        <v>17</v>
      </c>
      <c r="K140" s="15">
        <v>88</v>
      </c>
      <c r="L140" s="15">
        <v>3369</v>
      </c>
      <c r="M140" s="15" t="s">
        <v>28</v>
      </c>
      <c r="N140" s="15" t="s">
        <v>19</v>
      </c>
      <c r="O140" s="15" t="s">
        <v>33</v>
      </c>
      <c r="P140" s="15" t="s">
        <v>21</v>
      </c>
      <c r="Q140" s="15">
        <v>3</v>
      </c>
      <c r="R140" s="15" t="s">
        <v>29</v>
      </c>
      <c r="S140" s="15" t="s">
        <v>27</v>
      </c>
      <c r="T140" s="15">
        <v>1</v>
      </c>
      <c r="U140" s="15" t="s">
        <v>17</v>
      </c>
      <c r="V140" s="4">
        <v>0</v>
      </c>
      <c r="W140" s="4">
        <v>1</v>
      </c>
      <c r="X140" s="8"/>
      <c r="Y140" s="3"/>
      <c r="Z140"/>
      <c r="AA140" s="3"/>
      <c r="AB140" s="2"/>
      <c r="AC140" s="3"/>
      <c r="AD140" s="20"/>
      <c r="AE140" s="11"/>
      <c r="AF140" s="10"/>
    </row>
    <row r="141" spans="1:32" x14ac:dyDescent="0.25">
      <c r="A141" s="16">
        <v>30</v>
      </c>
      <c r="B141" s="16" t="s">
        <v>46</v>
      </c>
      <c r="C141" s="14">
        <v>44318</v>
      </c>
      <c r="D141" s="11">
        <f t="shared" si="4"/>
        <v>44532</v>
      </c>
      <c r="E141" s="16">
        <v>73.55</v>
      </c>
      <c r="F141" s="16">
        <v>7</v>
      </c>
      <c r="G141" s="16">
        <v>73.55</v>
      </c>
      <c r="H141" s="16">
        <v>110.47</v>
      </c>
      <c r="I141" s="16">
        <v>2</v>
      </c>
      <c r="J141" s="16" t="s">
        <v>17</v>
      </c>
      <c r="K141" s="16">
        <v>94</v>
      </c>
      <c r="L141" s="16">
        <v>4369</v>
      </c>
      <c r="M141" s="16" t="s">
        <v>28</v>
      </c>
      <c r="N141" s="16" t="s">
        <v>29</v>
      </c>
      <c r="O141" s="16" t="s">
        <v>20</v>
      </c>
      <c r="P141" s="16" t="s">
        <v>21</v>
      </c>
      <c r="Q141" s="16">
        <v>2</v>
      </c>
      <c r="R141" s="16" t="s">
        <v>29</v>
      </c>
      <c r="S141" s="16" t="s">
        <v>32</v>
      </c>
      <c r="T141" s="16">
        <v>6</v>
      </c>
      <c r="U141" s="16" t="s">
        <v>17</v>
      </c>
      <c r="V141" s="4">
        <v>2</v>
      </c>
      <c r="W141" s="4">
        <v>1</v>
      </c>
      <c r="X141" s="8"/>
      <c r="Y141" s="3"/>
      <c r="Z141"/>
      <c r="AA141" s="3"/>
      <c r="AB141" s="2"/>
      <c r="AC141" s="3"/>
      <c r="AD141" s="20"/>
      <c r="AE141" s="11"/>
      <c r="AF141" s="10"/>
    </row>
    <row r="142" spans="1:32" x14ac:dyDescent="0.25">
      <c r="A142" s="15">
        <v>23</v>
      </c>
      <c r="B142" s="15" t="s">
        <v>50</v>
      </c>
      <c r="C142" s="13">
        <v>44423</v>
      </c>
      <c r="D142" s="11">
        <f t="shared" si="4"/>
        <v>44545</v>
      </c>
      <c r="E142" s="15">
        <v>19.95</v>
      </c>
      <c r="F142" s="15">
        <v>4</v>
      </c>
      <c r="G142" s="15">
        <v>214.75</v>
      </c>
      <c r="H142" s="15">
        <v>539.69000000000005</v>
      </c>
      <c r="I142" s="15">
        <v>1</v>
      </c>
      <c r="J142" s="15" t="s">
        <v>38</v>
      </c>
      <c r="K142" s="15">
        <v>80</v>
      </c>
      <c r="L142" s="15">
        <v>5888</v>
      </c>
      <c r="M142" s="15" t="s">
        <v>26</v>
      </c>
      <c r="N142" s="15" t="s">
        <v>19</v>
      </c>
      <c r="O142" s="15" t="s">
        <v>35</v>
      </c>
      <c r="P142" s="15" t="s">
        <v>21</v>
      </c>
      <c r="Q142" s="15">
        <v>2</v>
      </c>
      <c r="R142" s="15" t="s">
        <v>29</v>
      </c>
      <c r="S142" s="15" t="s">
        <v>23</v>
      </c>
      <c r="T142" s="15">
        <v>6</v>
      </c>
      <c r="U142" s="15" t="s">
        <v>17</v>
      </c>
      <c r="V142" s="4">
        <v>1</v>
      </c>
      <c r="W142" s="4">
        <v>0</v>
      </c>
      <c r="X142" s="8"/>
      <c r="Y142" s="3"/>
      <c r="Z142"/>
      <c r="AA142" s="3"/>
      <c r="AB142" s="2"/>
      <c r="AC142" s="3"/>
      <c r="AD142" s="20"/>
      <c r="AE142" s="11"/>
      <c r="AF142" s="10"/>
    </row>
    <row r="143" spans="1:32" x14ac:dyDescent="0.25">
      <c r="A143" s="16">
        <v>32</v>
      </c>
      <c r="B143" s="16" t="s">
        <v>50</v>
      </c>
      <c r="C143" s="14">
        <v>44015</v>
      </c>
      <c r="D143" s="11">
        <f t="shared" si="4"/>
        <v>44533</v>
      </c>
      <c r="E143" s="16">
        <v>70.150000000000006</v>
      </c>
      <c r="F143" s="16">
        <v>17</v>
      </c>
      <c r="G143" s="16">
        <v>70.150000000000006</v>
      </c>
      <c r="H143" s="16">
        <v>118.12</v>
      </c>
      <c r="I143" s="16">
        <v>2</v>
      </c>
      <c r="J143" s="16" t="s">
        <v>38</v>
      </c>
      <c r="K143" s="16">
        <v>71</v>
      </c>
      <c r="L143" s="16">
        <v>2825</v>
      </c>
      <c r="M143" s="16" t="s">
        <v>28</v>
      </c>
      <c r="N143" s="16" t="s">
        <v>29</v>
      </c>
      <c r="O143" s="16" t="s">
        <v>20</v>
      </c>
      <c r="P143" s="16" t="s">
        <v>21</v>
      </c>
      <c r="Q143" s="16">
        <v>4</v>
      </c>
      <c r="R143" s="16" t="s">
        <v>19</v>
      </c>
      <c r="S143" s="16" t="s">
        <v>30</v>
      </c>
      <c r="T143" s="16">
        <v>6</v>
      </c>
      <c r="U143" s="16" t="s">
        <v>38</v>
      </c>
      <c r="V143" s="4">
        <v>0</v>
      </c>
      <c r="W143" s="4">
        <v>0</v>
      </c>
      <c r="X143" s="8"/>
      <c r="Y143" s="3"/>
      <c r="Z143"/>
      <c r="AA143" s="3"/>
      <c r="AB143" s="2"/>
      <c r="AC143" s="3"/>
      <c r="AD143" s="20"/>
      <c r="AE143" s="11"/>
      <c r="AF143" s="10"/>
    </row>
    <row r="144" spans="1:32" x14ac:dyDescent="0.25">
      <c r="A144" s="15">
        <v>35</v>
      </c>
      <c r="B144" s="15" t="s">
        <v>44</v>
      </c>
      <c r="C144" s="13">
        <v>43913</v>
      </c>
      <c r="D144" s="11">
        <f t="shared" si="4"/>
        <v>44553</v>
      </c>
      <c r="E144" s="15">
        <v>100.8</v>
      </c>
      <c r="F144" s="15">
        <v>21</v>
      </c>
      <c r="G144" s="15">
        <v>100.8</v>
      </c>
      <c r="H144" s="15">
        <v>118.15</v>
      </c>
      <c r="I144" s="15">
        <v>1</v>
      </c>
      <c r="J144" s="15" t="s">
        <v>38</v>
      </c>
      <c r="K144" s="15">
        <v>65</v>
      </c>
      <c r="L144" s="15">
        <v>3128</v>
      </c>
      <c r="M144" s="15" t="s">
        <v>18</v>
      </c>
      <c r="N144" s="15" t="s">
        <v>22</v>
      </c>
      <c r="O144" s="15" t="s">
        <v>33</v>
      </c>
      <c r="P144" s="15" t="s">
        <v>21</v>
      </c>
      <c r="Q144" s="15">
        <v>2</v>
      </c>
      <c r="R144" s="15" t="s">
        <v>29</v>
      </c>
      <c r="S144" s="15" t="s">
        <v>27</v>
      </c>
      <c r="T144" s="15">
        <v>1</v>
      </c>
      <c r="U144" s="15" t="s">
        <v>38</v>
      </c>
      <c r="V144" s="4">
        <v>0</v>
      </c>
      <c r="W144" s="4">
        <v>0</v>
      </c>
      <c r="X144" s="8"/>
      <c r="Y144" s="3"/>
      <c r="Z144"/>
      <c r="AA144" s="3"/>
      <c r="AB144" s="2"/>
      <c r="AC144" s="3"/>
      <c r="AD144" s="20"/>
      <c r="AE144" s="11"/>
      <c r="AF144" s="10"/>
    </row>
    <row r="145" spans="1:32" x14ac:dyDescent="0.25">
      <c r="A145" s="16">
        <v>31</v>
      </c>
      <c r="B145" s="16" t="s">
        <v>48</v>
      </c>
      <c r="C145" s="14">
        <v>44024</v>
      </c>
      <c r="D145" s="11">
        <f t="shared" si="4"/>
        <v>44542</v>
      </c>
      <c r="E145" s="16">
        <v>89.7</v>
      </c>
      <c r="F145" s="16">
        <v>17</v>
      </c>
      <c r="G145" s="16">
        <v>1047.7</v>
      </c>
      <c r="H145" s="16">
        <v>1091.26</v>
      </c>
      <c r="I145" s="16">
        <v>2</v>
      </c>
      <c r="J145" s="16" t="s">
        <v>38</v>
      </c>
      <c r="K145" s="16">
        <v>89</v>
      </c>
      <c r="L145" s="16">
        <v>2202</v>
      </c>
      <c r="M145" s="16" t="s">
        <v>18</v>
      </c>
      <c r="N145" s="16" t="s">
        <v>29</v>
      </c>
      <c r="O145" s="16" t="s">
        <v>20</v>
      </c>
      <c r="P145" s="16" t="s">
        <v>21</v>
      </c>
      <c r="Q145" s="16">
        <v>3</v>
      </c>
      <c r="R145" s="16" t="s">
        <v>29</v>
      </c>
      <c r="S145" s="16" t="s">
        <v>32</v>
      </c>
      <c r="T145" s="16">
        <v>7</v>
      </c>
      <c r="U145" s="16" t="s">
        <v>17</v>
      </c>
      <c r="V145" s="4">
        <v>0</v>
      </c>
      <c r="W145" s="4">
        <v>0</v>
      </c>
      <c r="X145" s="8"/>
      <c r="Y145" s="3"/>
      <c r="Z145"/>
      <c r="AA145" s="3"/>
      <c r="AB145" s="2"/>
      <c r="AC145" s="3"/>
      <c r="AD145" s="20"/>
      <c r="AE145" s="11"/>
      <c r="AF145" s="10"/>
    </row>
    <row r="146" spans="1:32" x14ac:dyDescent="0.25">
      <c r="A146" s="15">
        <v>35</v>
      </c>
      <c r="B146" s="15" t="s">
        <v>45</v>
      </c>
      <c r="C146" s="13">
        <v>43978</v>
      </c>
      <c r="D146" s="11">
        <f t="shared" si="4"/>
        <v>44557</v>
      </c>
      <c r="E146" s="15">
        <v>44.95</v>
      </c>
      <c r="F146" s="15">
        <v>19</v>
      </c>
      <c r="G146" s="15">
        <v>85.15</v>
      </c>
      <c r="H146" s="15">
        <v>138.38999999999999</v>
      </c>
      <c r="I146" s="15">
        <v>2</v>
      </c>
      <c r="J146" s="15" t="s">
        <v>17</v>
      </c>
      <c r="K146" s="15">
        <v>84</v>
      </c>
      <c r="L146" s="15">
        <v>5900</v>
      </c>
      <c r="M146" s="15" t="s">
        <v>18</v>
      </c>
      <c r="N146" s="15" t="s">
        <v>22</v>
      </c>
      <c r="O146" s="15" t="s">
        <v>35</v>
      </c>
      <c r="P146" s="15" t="s">
        <v>21</v>
      </c>
      <c r="Q146" s="15">
        <v>5</v>
      </c>
      <c r="R146" s="15" t="s">
        <v>22</v>
      </c>
      <c r="S146" s="15" t="s">
        <v>32</v>
      </c>
      <c r="T146" s="15">
        <v>3</v>
      </c>
      <c r="U146" s="15" t="s">
        <v>17</v>
      </c>
      <c r="V146" s="4">
        <v>1</v>
      </c>
      <c r="W146" s="4">
        <v>1</v>
      </c>
      <c r="X146" s="8"/>
      <c r="Y146" s="3"/>
      <c r="Z146"/>
      <c r="AA146" s="3"/>
      <c r="AB146" s="2"/>
      <c r="AC146" s="3"/>
      <c r="AD146" s="20"/>
      <c r="AE146" s="11"/>
      <c r="AF146" s="10"/>
    </row>
    <row r="147" spans="1:32" x14ac:dyDescent="0.25">
      <c r="A147" s="16">
        <v>29</v>
      </c>
      <c r="B147" s="16" t="s">
        <v>45</v>
      </c>
      <c r="C147" s="14">
        <v>44436</v>
      </c>
      <c r="D147" s="11">
        <f t="shared" si="4"/>
        <v>44558</v>
      </c>
      <c r="E147" s="16">
        <v>88.55</v>
      </c>
      <c r="F147" s="16">
        <v>4</v>
      </c>
      <c r="G147" s="16">
        <v>179.25</v>
      </c>
      <c r="H147" s="16">
        <v>222.39</v>
      </c>
      <c r="I147" s="16">
        <v>1</v>
      </c>
      <c r="J147" s="16" t="s">
        <v>38</v>
      </c>
      <c r="K147" s="16">
        <v>80</v>
      </c>
      <c r="L147" s="16">
        <v>3685</v>
      </c>
      <c r="M147" s="16" t="s">
        <v>24</v>
      </c>
      <c r="N147" s="16" t="s">
        <v>19</v>
      </c>
      <c r="O147" s="16" t="s">
        <v>33</v>
      </c>
      <c r="P147" s="16" t="s">
        <v>21</v>
      </c>
      <c r="Q147" s="16">
        <v>3</v>
      </c>
      <c r="R147" s="16" t="s">
        <v>29</v>
      </c>
      <c r="S147" s="16" t="s">
        <v>23</v>
      </c>
      <c r="T147" s="16">
        <v>7</v>
      </c>
      <c r="U147" s="16" t="s">
        <v>17</v>
      </c>
      <c r="V147" s="4">
        <v>2</v>
      </c>
      <c r="W147" s="4">
        <v>0</v>
      </c>
      <c r="X147" s="8"/>
      <c r="Y147" s="3"/>
      <c r="Z147"/>
      <c r="AA147" s="3"/>
      <c r="AB147" s="2"/>
      <c r="AC147" s="3"/>
      <c r="AD147" s="20"/>
      <c r="AE147" s="11"/>
      <c r="AF147" s="10"/>
    </row>
    <row r="148" spans="1:32" x14ac:dyDescent="0.25">
      <c r="A148" s="15">
        <v>20</v>
      </c>
      <c r="B148" s="15" t="s">
        <v>51</v>
      </c>
      <c r="C148" s="13">
        <v>44423</v>
      </c>
      <c r="D148" s="11">
        <f t="shared" si="4"/>
        <v>44545</v>
      </c>
      <c r="E148" s="15">
        <v>100.5</v>
      </c>
      <c r="F148" s="15">
        <v>4</v>
      </c>
      <c r="G148" s="15">
        <v>3653.35</v>
      </c>
      <c r="H148" s="15">
        <v>4212.6499999999996</v>
      </c>
      <c r="I148" s="15">
        <v>1</v>
      </c>
      <c r="J148" s="15" t="s">
        <v>38</v>
      </c>
      <c r="K148" s="15">
        <v>81</v>
      </c>
      <c r="L148" s="15">
        <v>4745</v>
      </c>
      <c r="M148" s="15" t="s">
        <v>26</v>
      </c>
      <c r="N148" s="15" t="s">
        <v>29</v>
      </c>
      <c r="O148" s="15" t="s">
        <v>20</v>
      </c>
      <c r="P148" s="15" t="s">
        <v>21</v>
      </c>
      <c r="Q148" s="15">
        <v>5</v>
      </c>
      <c r="R148" s="15" t="s">
        <v>22</v>
      </c>
      <c r="S148" s="15" t="s">
        <v>23</v>
      </c>
      <c r="T148" s="15">
        <v>7</v>
      </c>
      <c r="U148" s="15" t="s">
        <v>17</v>
      </c>
      <c r="V148" s="4">
        <v>2</v>
      </c>
      <c r="W148" s="4">
        <v>0</v>
      </c>
      <c r="X148" s="8"/>
      <c r="Y148" s="3"/>
      <c r="Z148"/>
      <c r="AA148" s="3"/>
      <c r="AB148" s="2"/>
      <c r="AC148" s="3"/>
      <c r="AD148" s="20"/>
      <c r="AE148" s="11"/>
      <c r="AF148" s="10"/>
    </row>
    <row r="149" spans="1:32" x14ac:dyDescent="0.25">
      <c r="A149" s="16">
        <v>33</v>
      </c>
      <c r="B149" s="16" t="s">
        <v>48</v>
      </c>
      <c r="C149" s="14">
        <v>44257</v>
      </c>
      <c r="D149" s="11">
        <f t="shared" si="4"/>
        <v>44532</v>
      </c>
      <c r="E149" s="16">
        <v>90.05</v>
      </c>
      <c r="F149" s="16">
        <v>9</v>
      </c>
      <c r="G149" s="16">
        <v>4547.25</v>
      </c>
      <c r="H149" s="16">
        <v>5670.33</v>
      </c>
      <c r="I149" s="16">
        <v>2</v>
      </c>
      <c r="J149" s="16" t="s">
        <v>38</v>
      </c>
      <c r="K149" s="16">
        <v>96</v>
      </c>
      <c r="L149" s="16">
        <v>5059</v>
      </c>
      <c r="M149" s="16" t="s">
        <v>18</v>
      </c>
      <c r="N149" s="16" t="s">
        <v>22</v>
      </c>
      <c r="O149" s="16" t="s">
        <v>20</v>
      </c>
      <c r="P149" s="16" t="s">
        <v>21</v>
      </c>
      <c r="Q149" s="16">
        <v>1</v>
      </c>
      <c r="R149" s="16" t="s">
        <v>22</v>
      </c>
      <c r="S149" s="16" t="s">
        <v>30</v>
      </c>
      <c r="T149" s="16">
        <v>6</v>
      </c>
      <c r="U149" s="16" t="s">
        <v>17</v>
      </c>
      <c r="V149" s="4">
        <v>1</v>
      </c>
      <c r="W149" s="4">
        <v>0</v>
      </c>
      <c r="X149" s="8"/>
      <c r="Y149" s="3"/>
      <c r="Z149"/>
      <c r="AA149" s="3"/>
      <c r="AB149" s="2"/>
      <c r="AC149" s="3"/>
      <c r="AD149" s="20"/>
      <c r="AE149" s="11"/>
      <c r="AF149" s="10"/>
    </row>
    <row r="150" spans="1:32" x14ac:dyDescent="0.25">
      <c r="A150" s="15">
        <v>23</v>
      </c>
      <c r="B150" s="15" t="s">
        <v>47</v>
      </c>
      <c r="C150" s="13">
        <v>44136</v>
      </c>
      <c r="D150" s="11">
        <f t="shared" si="4"/>
        <v>44562</v>
      </c>
      <c r="E150" s="15">
        <v>70.099999999999994</v>
      </c>
      <c r="F150" s="15">
        <v>14</v>
      </c>
      <c r="G150" s="15">
        <v>467.55</v>
      </c>
      <c r="H150" s="15">
        <v>559.66999999999996</v>
      </c>
      <c r="I150" s="15">
        <v>2</v>
      </c>
      <c r="J150" s="15" t="s">
        <v>38</v>
      </c>
      <c r="K150" s="15">
        <v>83</v>
      </c>
      <c r="L150" s="15">
        <v>3669</v>
      </c>
      <c r="M150" s="15" t="s">
        <v>28</v>
      </c>
      <c r="N150" s="15" t="s">
        <v>22</v>
      </c>
      <c r="O150" s="15" t="s">
        <v>35</v>
      </c>
      <c r="P150" s="15" t="s">
        <v>21</v>
      </c>
      <c r="Q150" s="15">
        <v>5</v>
      </c>
      <c r="R150" s="15" t="s">
        <v>29</v>
      </c>
      <c r="S150" s="15" t="s">
        <v>30</v>
      </c>
      <c r="T150" s="15">
        <v>2</v>
      </c>
      <c r="U150" s="15" t="s">
        <v>17</v>
      </c>
      <c r="V150" s="4">
        <v>2</v>
      </c>
      <c r="W150" s="4">
        <v>0</v>
      </c>
      <c r="X150" s="8"/>
      <c r="Y150" s="3"/>
      <c r="Z150"/>
      <c r="AA150" s="3"/>
      <c r="AB150" s="2"/>
      <c r="AC150" s="3"/>
      <c r="AD150" s="20"/>
      <c r="AE150" s="11"/>
      <c r="AF150" s="10"/>
    </row>
    <row r="151" spans="1:32" x14ac:dyDescent="0.25">
      <c r="A151" s="17">
        <v>28</v>
      </c>
      <c r="B151" s="17" t="s">
        <v>49</v>
      </c>
      <c r="C151" s="14">
        <v>44018</v>
      </c>
      <c r="D151" s="11">
        <f t="shared" si="4"/>
        <v>44536</v>
      </c>
      <c r="E151" s="17">
        <v>70.55</v>
      </c>
      <c r="F151" s="17">
        <v>17</v>
      </c>
      <c r="G151" s="17">
        <v>70.55</v>
      </c>
      <c r="H151" s="17">
        <v>88.75</v>
      </c>
      <c r="I151" s="17">
        <v>3</v>
      </c>
      <c r="J151" s="17" t="s">
        <v>38</v>
      </c>
      <c r="K151" s="17">
        <v>82</v>
      </c>
      <c r="L151" s="17">
        <v>2146</v>
      </c>
      <c r="M151" s="17" t="s">
        <v>18</v>
      </c>
      <c r="N151" s="17" t="s">
        <v>22</v>
      </c>
      <c r="O151" s="17" t="s">
        <v>31</v>
      </c>
      <c r="P151" s="17" t="s">
        <v>21</v>
      </c>
      <c r="Q151" s="17">
        <v>5</v>
      </c>
      <c r="R151" s="17" t="s">
        <v>29</v>
      </c>
      <c r="S151" s="17" t="s">
        <v>27</v>
      </c>
      <c r="T151" s="17">
        <v>8</v>
      </c>
      <c r="U151" s="17" t="s">
        <v>38</v>
      </c>
      <c r="V151" s="4">
        <v>0</v>
      </c>
      <c r="W151" s="4">
        <v>0</v>
      </c>
      <c r="X151" s="8"/>
      <c r="Y151" s="3"/>
      <c r="Z151"/>
      <c r="AA151" s="3"/>
      <c r="AB151" s="2"/>
      <c r="AC151" s="3"/>
      <c r="AD151" s="20"/>
      <c r="AE151" s="11"/>
      <c r="AF151" s="10"/>
    </row>
  </sheetData>
  <conditionalFormatting sqref="A1:F1 W1 G1:V151 A2:C151 E2:F151 W2:X151">
    <cfRule type="cellIs" dxfId="0" priority="1" operator="equal">
      <formula>"Sample"</formula>
    </cfRule>
  </conditionalFormatting>
  <pageMargins left="0.7" right="0.7" top="0.75" bottom="0.75" header="0.3" footer="0.3"/>
  <pageSetup orientation="portrait" r:id="rId1"/>
  <tableParts count="2">
    <tablePart r:id="rId2"/>
    <tablePart r:id="rId3"/>
  </tableParts>
  <extLst>
    <ext xmlns:x15="http://schemas.microsoft.com/office/spreadsheetml/2010/11/main" uri="{F7C9EE02-42E1-4005-9D12-6889AFFD525C}">
      <x15:webExtensions xmlns:xm="http://schemas.microsoft.com/office/excel/2006/main">
        <x15:webExtension appRef="{5FF99D3F-C24B-4FD6-8AFD-4684D44D108F}">
          <xm:f>Dataset!1:1048576</xm:f>
        </x15:webExtension>
        <x15:webExtension appRef="{C90EA697-DF85-40FE-8642-4494CF9965F1}">
          <xm:f>Dataset!$L$2:$L$151</xm:f>
        </x15:webExtension>
        <x15:webExtension appRef="{1EBABE51-D96F-4F7F-BDD7-B0F2FB326F8B}">
          <xm:f>Dataset!$E$2:$E$151</xm:f>
        </x15:webExtension>
        <x15:webExtension appRef="{6F2AB1A2-8FA4-4DD3-914B-553EFECAE83E}">
          <xm:f>Dataset!$X$2:$AH$19</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D6730-391A-45E7-A3E3-5B7BF16BC842}">
  <dimension ref="A1:O47"/>
  <sheetViews>
    <sheetView showGridLines="0" showRowColHeaders="0" tabSelected="1" zoomScale="47" zoomScaleNormal="100" workbookViewId="0">
      <selection activeCell="AC50" sqref="AC50"/>
    </sheetView>
  </sheetViews>
  <sheetFormatPr defaultRowHeight="13.8" x14ac:dyDescent="0.25"/>
  <cols>
    <col min="1" max="1" width="37.8984375" customWidth="1"/>
    <col min="2" max="2" width="15.5" customWidth="1"/>
    <col min="3" max="3" width="11.69921875" customWidth="1"/>
    <col min="4" max="4" width="10.69921875" customWidth="1"/>
    <col min="5" max="6" width="16" customWidth="1"/>
    <col min="7" max="7" width="10.69921875" customWidth="1"/>
    <col min="9" max="10" width="17.796875" customWidth="1"/>
    <col min="11" max="11" width="39.59765625" customWidth="1"/>
    <col min="13" max="13" width="18.296875" customWidth="1"/>
    <col min="14" max="14" width="15" customWidth="1"/>
    <col min="15" max="15" width="18.3984375" customWidth="1"/>
    <col min="16" max="16" width="27.09765625" customWidth="1"/>
  </cols>
  <sheetData>
    <row r="1" spans="1:15" s="23" customFormat="1" x14ac:dyDescent="0.25"/>
    <row r="2" spans="1:15" s="23" customFormat="1" x14ac:dyDescent="0.25"/>
    <row r="3" spans="1:15" s="23" customFormat="1" x14ac:dyDescent="0.25"/>
    <row r="4" spans="1:15" s="23" customFormat="1" x14ac:dyDescent="0.25"/>
    <row r="5" spans="1:15" x14ac:dyDescent="0.25">
      <c r="A5" s="9" t="s">
        <v>66</v>
      </c>
      <c r="B5" s="9" t="s">
        <v>11</v>
      </c>
      <c r="N5" s="9" t="s">
        <v>43</v>
      </c>
      <c r="O5" t="s">
        <v>70</v>
      </c>
    </row>
    <row r="6" spans="1:15" x14ac:dyDescent="0.25">
      <c r="A6" s="9" t="s">
        <v>43</v>
      </c>
      <c r="B6" s="7" t="s">
        <v>31</v>
      </c>
      <c r="C6" s="7" t="s">
        <v>33</v>
      </c>
      <c r="D6" s="7" t="s">
        <v>20</v>
      </c>
      <c r="E6" s="7" t="s">
        <v>25</v>
      </c>
      <c r="F6" s="7" t="s">
        <v>35</v>
      </c>
      <c r="G6" s="7" t="s">
        <v>60</v>
      </c>
      <c r="N6" s="4" t="s">
        <v>51</v>
      </c>
      <c r="O6" s="10">
        <v>15</v>
      </c>
    </row>
    <row r="7" spans="1:15" x14ac:dyDescent="0.25">
      <c r="A7" s="7" t="s">
        <v>51</v>
      </c>
      <c r="B7" s="10">
        <v>742.05</v>
      </c>
      <c r="C7" s="10">
        <v>12607.849999999999</v>
      </c>
      <c r="D7" s="10">
        <v>8279.85</v>
      </c>
      <c r="E7" s="10">
        <v>4687.8999999999996</v>
      </c>
      <c r="F7" s="10">
        <v>74.7</v>
      </c>
      <c r="G7" s="10">
        <v>26392.350000000002</v>
      </c>
      <c r="N7" s="4" t="s">
        <v>50</v>
      </c>
      <c r="O7" s="10">
        <v>13</v>
      </c>
    </row>
    <row r="8" spans="1:15" x14ac:dyDescent="0.25">
      <c r="A8" s="7" t="s">
        <v>50</v>
      </c>
      <c r="B8" s="10">
        <v>1622.45</v>
      </c>
      <c r="C8" s="10">
        <v>8418.65</v>
      </c>
      <c r="D8" s="10">
        <v>3246.3</v>
      </c>
      <c r="E8" s="10">
        <v>3586.45</v>
      </c>
      <c r="F8" s="10">
        <v>1253.05</v>
      </c>
      <c r="G8" s="10">
        <v>18126.900000000001</v>
      </c>
      <c r="N8" s="4" t="s">
        <v>44</v>
      </c>
      <c r="O8" s="10">
        <v>13</v>
      </c>
    </row>
    <row r="9" spans="1:15" x14ac:dyDescent="0.25">
      <c r="A9" s="7" t="s">
        <v>44</v>
      </c>
      <c r="B9" s="10">
        <v>756.2</v>
      </c>
      <c r="C9" s="10">
        <v>1460.05</v>
      </c>
      <c r="D9" s="10">
        <v>1347.65</v>
      </c>
      <c r="E9" s="10">
        <v>5274.2</v>
      </c>
      <c r="F9" s="10">
        <v>2664.0499999999997</v>
      </c>
      <c r="G9" s="10">
        <v>11502.15</v>
      </c>
      <c r="N9" s="4" t="s">
        <v>48</v>
      </c>
      <c r="O9" s="10">
        <v>19</v>
      </c>
    </row>
    <row r="10" spans="1:15" x14ac:dyDescent="0.25">
      <c r="A10" s="7" t="s">
        <v>48</v>
      </c>
      <c r="B10" s="10">
        <v>5662.5499999999993</v>
      </c>
      <c r="C10" s="10">
        <v>6383.35</v>
      </c>
      <c r="D10" s="10">
        <v>7817.8</v>
      </c>
      <c r="E10" s="10">
        <v>1395.85</v>
      </c>
      <c r="F10" s="10">
        <v>17294.449999999997</v>
      </c>
      <c r="G10" s="10">
        <v>38554</v>
      </c>
      <c r="N10" s="4" t="s">
        <v>47</v>
      </c>
      <c r="O10" s="10">
        <v>14</v>
      </c>
    </row>
    <row r="11" spans="1:15" x14ac:dyDescent="0.25">
      <c r="A11" s="7" t="s">
        <v>47</v>
      </c>
      <c r="B11" s="10">
        <v>2135.5</v>
      </c>
      <c r="C11" s="10">
        <v>11382.55</v>
      </c>
      <c r="D11" s="10">
        <v>6519.9999999999991</v>
      </c>
      <c r="E11" s="10">
        <v>6897.45</v>
      </c>
      <c r="F11" s="10">
        <v>2761.5000000000005</v>
      </c>
      <c r="G11" s="10">
        <v>29697</v>
      </c>
      <c r="N11" s="4" t="s">
        <v>46</v>
      </c>
      <c r="O11" s="10">
        <v>19</v>
      </c>
    </row>
    <row r="12" spans="1:15" x14ac:dyDescent="0.25">
      <c r="A12" s="7" t="s">
        <v>46</v>
      </c>
      <c r="B12" s="10">
        <v>1613.55</v>
      </c>
      <c r="C12" s="10">
        <v>4709.75</v>
      </c>
      <c r="D12" s="10">
        <v>14331.15</v>
      </c>
      <c r="E12" s="10">
        <v>3395.8</v>
      </c>
      <c r="F12" s="10">
        <v>840.1</v>
      </c>
      <c r="G12" s="10">
        <v>24890.35</v>
      </c>
      <c r="N12" s="4" t="s">
        <v>45</v>
      </c>
      <c r="O12" s="10">
        <v>17</v>
      </c>
    </row>
    <row r="13" spans="1:15" x14ac:dyDescent="0.25">
      <c r="A13" s="7" t="s">
        <v>45</v>
      </c>
      <c r="B13" s="10">
        <v>1383.2</v>
      </c>
      <c r="C13" s="10">
        <v>6820.7999999999993</v>
      </c>
      <c r="D13" s="10">
        <v>9758.5</v>
      </c>
      <c r="E13" s="10">
        <v>7361</v>
      </c>
      <c r="F13" s="10">
        <v>10438.949999999999</v>
      </c>
      <c r="G13" s="10">
        <v>35762.449999999997</v>
      </c>
      <c r="N13" s="4" t="s">
        <v>53</v>
      </c>
      <c r="O13" s="10">
        <v>14</v>
      </c>
    </row>
    <row r="14" spans="1:15" x14ac:dyDescent="0.25">
      <c r="A14" s="7" t="s">
        <v>53</v>
      </c>
      <c r="B14" s="10">
        <v>1027.3</v>
      </c>
      <c r="C14" s="10">
        <v>1899.65</v>
      </c>
      <c r="D14" s="10">
        <v>6050.0499999999993</v>
      </c>
      <c r="E14" s="10">
        <v>2562.15</v>
      </c>
      <c r="F14" s="10">
        <v>898.6</v>
      </c>
      <c r="G14" s="10">
        <v>12437.75</v>
      </c>
      <c r="N14" s="4" t="s">
        <v>49</v>
      </c>
      <c r="O14" s="10">
        <v>17</v>
      </c>
    </row>
    <row r="15" spans="1:15" x14ac:dyDescent="0.25">
      <c r="A15" s="7" t="s">
        <v>49</v>
      </c>
      <c r="B15" s="10">
        <v>10039.949999999999</v>
      </c>
      <c r="C15" s="10">
        <v>3891.8</v>
      </c>
      <c r="D15" s="10">
        <v>3364.05</v>
      </c>
      <c r="E15" s="10">
        <v>362.75</v>
      </c>
      <c r="F15" s="10">
        <v>11256.95</v>
      </c>
      <c r="G15" s="10">
        <v>28915.5</v>
      </c>
      <c r="N15" s="4" t="s">
        <v>52</v>
      </c>
      <c r="O15" s="10">
        <v>9</v>
      </c>
    </row>
    <row r="16" spans="1:15" x14ac:dyDescent="0.25">
      <c r="A16" s="7" t="s">
        <v>52</v>
      </c>
      <c r="B16" s="10">
        <v>1919.75</v>
      </c>
      <c r="C16" s="10">
        <v>2675.8500000000004</v>
      </c>
      <c r="D16" s="10">
        <v>8069.1</v>
      </c>
      <c r="E16" s="10">
        <v>2155.25</v>
      </c>
      <c r="F16" s="10">
        <v>3105.55</v>
      </c>
      <c r="G16" s="10">
        <v>17925.5</v>
      </c>
      <c r="N16" s="4" t="s">
        <v>60</v>
      </c>
      <c r="O16" s="10">
        <v>150</v>
      </c>
    </row>
    <row r="17" spans="1:15" x14ac:dyDescent="0.25">
      <c r="A17" s="7" t="s">
        <v>60</v>
      </c>
      <c r="B17" s="10">
        <v>26902.5</v>
      </c>
      <c r="C17" s="10">
        <v>60250.3</v>
      </c>
      <c r="D17" s="10">
        <v>68784.450000000012</v>
      </c>
      <c r="E17" s="10">
        <v>37678.799999999996</v>
      </c>
      <c r="F17" s="10">
        <v>50587.899999999994</v>
      </c>
      <c r="G17" s="10">
        <v>244203.95</v>
      </c>
    </row>
    <row r="19" spans="1:15" x14ac:dyDescent="0.25">
      <c r="A19" s="9" t="s">
        <v>62</v>
      </c>
      <c r="B19" s="9" t="s">
        <v>61</v>
      </c>
      <c r="N19" s="9" t="s">
        <v>71</v>
      </c>
      <c r="O19" t="s">
        <v>70</v>
      </c>
    </row>
    <row r="20" spans="1:15" x14ac:dyDescent="0.25">
      <c r="A20" s="9" t="s">
        <v>43</v>
      </c>
      <c r="B20" s="7" t="s">
        <v>68</v>
      </c>
      <c r="C20" s="7" t="s">
        <v>69</v>
      </c>
      <c r="D20" s="7" t="s">
        <v>60</v>
      </c>
      <c r="N20" s="4" t="s">
        <v>72</v>
      </c>
      <c r="O20" s="10">
        <v>8</v>
      </c>
    </row>
    <row r="21" spans="1:15" x14ac:dyDescent="0.25">
      <c r="A21" s="4" t="s">
        <v>51</v>
      </c>
      <c r="B21" s="10">
        <v>15105.74</v>
      </c>
      <c r="C21" s="10">
        <v>15212.869999999999</v>
      </c>
      <c r="D21" s="10">
        <v>30318.61</v>
      </c>
      <c r="N21" s="4" t="s">
        <v>73</v>
      </c>
      <c r="O21" s="10">
        <v>11</v>
      </c>
    </row>
    <row r="22" spans="1:15" x14ac:dyDescent="0.25">
      <c r="A22" s="4" t="s">
        <v>50</v>
      </c>
      <c r="B22" s="10">
        <v>10699.990000000002</v>
      </c>
      <c r="C22" s="10">
        <v>13730.09</v>
      </c>
      <c r="D22" s="10">
        <v>24430.080000000002</v>
      </c>
      <c r="N22" s="4" t="s">
        <v>74</v>
      </c>
      <c r="O22" s="10">
        <v>16</v>
      </c>
    </row>
    <row r="23" spans="1:15" x14ac:dyDescent="0.25">
      <c r="A23" s="4" t="s">
        <v>44</v>
      </c>
      <c r="B23" s="10">
        <v>8481.14</v>
      </c>
      <c r="C23" s="10">
        <v>5788.3</v>
      </c>
      <c r="D23" s="10">
        <v>14269.439999999999</v>
      </c>
      <c r="N23" s="4" t="s">
        <v>75</v>
      </c>
      <c r="O23" s="10">
        <v>10</v>
      </c>
    </row>
    <row r="24" spans="1:15" x14ac:dyDescent="0.25">
      <c r="A24" s="4" t="s">
        <v>48</v>
      </c>
      <c r="B24" s="10">
        <v>35673.969999999994</v>
      </c>
      <c r="C24" s="10">
        <v>14116.65</v>
      </c>
      <c r="D24" s="10">
        <v>49790.619999999995</v>
      </c>
      <c r="N24" s="4" t="s">
        <v>76</v>
      </c>
      <c r="O24" s="10">
        <v>15</v>
      </c>
    </row>
    <row r="25" spans="1:15" x14ac:dyDescent="0.25">
      <c r="A25" s="4" t="s">
        <v>47</v>
      </c>
      <c r="B25" s="10">
        <v>20236.54</v>
      </c>
      <c r="C25" s="10">
        <v>18518.05</v>
      </c>
      <c r="D25" s="10">
        <v>38754.589999999997</v>
      </c>
      <c r="N25" s="4" t="s">
        <v>77</v>
      </c>
      <c r="O25" s="10">
        <v>11</v>
      </c>
    </row>
    <row r="26" spans="1:15" x14ac:dyDescent="0.25">
      <c r="A26" s="4" t="s">
        <v>46</v>
      </c>
      <c r="B26" s="10">
        <v>23844.180000000004</v>
      </c>
      <c r="C26" s="10">
        <v>5838.66</v>
      </c>
      <c r="D26" s="10">
        <v>29682.840000000004</v>
      </c>
      <c r="N26" s="4" t="s">
        <v>78</v>
      </c>
      <c r="O26" s="10">
        <v>9</v>
      </c>
    </row>
    <row r="27" spans="1:15" x14ac:dyDescent="0.25">
      <c r="A27" s="4" t="s">
        <v>45</v>
      </c>
      <c r="B27" s="10">
        <v>26405.33</v>
      </c>
      <c r="C27" s="10">
        <v>20613.489999999998</v>
      </c>
      <c r="D27" s="10">
        <v>47018.82</v>
      </c>
      <c r="N27" s="4" t="s">
        <v>79</v>
      </c>
      <c r="O27" s="10">
        <v>11</v>
      </c>
    </row>
    <row r="28" spans="1:15" x14ac:dyDescent="0.25">
      <c r="A28" s="4" t="s">
        <v>53</v>
      </c>
      <c r="B28" s="10">
        <v>7625.4100000000008</v>
      </c>
      <c r="C28" s="10">
        <v>9092.35</v>
      </c>
      <c r="D28" s="10">
        <v>16717.760000000002</v>
      </c>
      <c r="N28" s="4" t="s">
        <v>80</v>
      </c>
      <c r="O28" s="10">
        <v>13</v>
      </c>
    </row>
    <row r="29" spans="1:15" x14ac:dyDescent="0.25">
      <c r="A29" s="4" t="s">
        <v>49</v>
      </c>
      <c r="B29" s="10">
        <v>22110.790000000005</v>
      </c>
      <c r="C29" s="10">
        <v>16082.960000000001</v>
      </c>
      <c r="D29" s="10">
        <v>38193.750000000007</v>
      </c>
      <c r="N29" s="4" t="s">
        <v>81</v>
      </c>
      <c r="O29" s="10">
        <v>19</v>
      </c>
    </row>
    <row r="30" spans="1:15" x14ac:dyDescent="0.25">
      <c r="A30" s="4" t="s">
        <v>52</v>
      </c>
      <c r="B30" s="10">
        <v>21071.239999999998</v>
      </c>
      <c r="C30" s="10">
        <v>2787.45</v>
      </c>
      <c r="D30" s="10">
        <v>23858.69</v>
      </c>
      <c r="N30" s="4" t="s">
        <v>82</v>
      </c>
      <c r="O30" s="10">
        <v>19</v>
      </c>
    </row>
    <row r="31" spans="1:15" x14ac:dyDescent="0.25">
      <c r="A31" s="4" t="s">
        <v>60</v>
      </c>
      <c r="B31" s="10">
        <v>191254.33000000002</v>
      </c>
      <c r="C31" s="10">
        <v>121780.87000000002</v>
      </c>
      <c r="D31" s="10">
        <v>313035.2</v>
      </c>
      <c r="N31" s="4" t="s">
        <v>83</v>
      </c>
      <c r="O31" s="10">
        <v>8</v>
      </c>
    </row>
    <row r="32" spans="1:15" x14ac:dyDescent="0.25">
      <c r="N32" s="4" t="s">
        <v>60</v>
      </c>
      <c r="O32" s="10">
        <v>150</v>
      </c>
    </row>
    <row r="33" spans="1:11" x14ac:dyDescent="0.25">
      <c r="A33" s="9" t="s">
        <v>10</v>
      </c>
      <c r="B33" t="s">
        <v>62</v>
      </c>
    </row>
    <row r="34" spans="1:11" x14ac:dyDescent="0.25">
      <c r="A34" s="4" t="s">
        <v>19</v>
      </c>
      <c r="B34" s="10">
        <v>87580.680000000008</v>
      </c>
      <c r="J34" s="9" t="s">
        <v>11</v>
      </c>
      <c r="K34" t="s">
        <v>67</v>
      </c>
    </row>
    <row r="35" spans="1:11" x14ac:dyDescent="0.25">
      <c r="A35" s="4" t="s">
        <v>22</v>
      </c>
      <c r="B35" s="10">
        <v>123670.31999999999</v>
      </c>
      <c r="J35" s="4" t="s">
        <v>31</v>
      </c>
      <c r="K35" s="10">
        <v>1.76</v>
      </c>
    </row>
    <row r="36" spans="1:11" x14ac:dyDescent="0.25">
      <c r="A36" s="4" t="s">
        <v>29</v>
      </c>
      <c r="B36" s="10">
        <v>101784.2</v>
      </c>
      <c r="J36" s="4" t="s">
        <v>33</v>
      </c>
      <c r="K36" s="10">
        <v>1.59375</v>
      </c>
    </row>
    <row r="37" spans="1:11" x14ac:dyDescent="0.25">
      <c r="A37" s="4" t="s">
        <v>60</v>
      </c>
      <c r="B37" s="10">
        <v>313035.2</v>
      </c>
      <c r="J37" s="4" t="s">
        <v>20</v>
      </c>
      <c r="K37" s="10">
        <v>1.6585365853658536</v>
      </c>
    </row>
    <row r="38" spans="1:11" x14ac:dyDescent="0.25">
      <c r="J38" s="4" t="s">
        <v>25</v>
      </c>
      <c r="K38" s="10">
        <v>1.7619047619047619</v>
      </c>
    </row>
    <row r="39" spans="1:11" x14ac:dyDescent="0.25">
      <c r="J39" s="4" t="s">
        <v>35</v>
      </c>
      <c r="K39" s="10">
        <v>1.8709677419354838</v>
      </c>
    </row>
    <row r="40" spans="1:11" x14ac:dyDescent="0.25">
      <c r="J40" s="4" t="s">
        <v>60</v>
      </c>
      <c r="K40" s="10">
        <v>1.72</v>
      </c>
    </row>
    <row r="41" spans="1:11" x14ac:dyDescent="0.25">
      <c r="J41" s="9" t="s">
        <v>11</v>
      </c>
      <c r="K41" t="s">
        <v>62</v>
      </c>
    </row>
    <row r="42" spans="1:11" x14ac:dyDescent="0.25">
      <c r="J42" s="4" t="s">
        <v>20</v>
      </c>
      <c r="K42" s="10">
        <v>89826.76999999999</v>
      </c>
    </row>
    <row r="43" spans="1:11" x14ac:dyDescent="0.25">
      <c r="J43" s="4" t="s">
        <v>33</v>
      </c>
      <c r="K43" s="10">
        <v>75013.680000000008</v>
      </c>
    </row>
    <row r="44" spans="1:11" x14ac:dyDescent="0.25">
      <c r="J44" s="4" t="s">
        <v>35</v>
      </c>
      <c r="K44" s="10">
        <v>65558.559999999998</v>
      </c>
    </row>
    <row r="45" spans="1:11" x14ac:dyDescent="0.25">
      <c r="J45" s="4" t="s">
        <v>25</v>
      </c>
      <c r="K45" s="10">
        <v>47019.040000000008</v>
      </c>
    </row>
    <row r="46" spans="1:11" x14ac:dyDescent="0.25">
      <c r="J46" s="4" t="s">
        <v>31</v>
      </c>
      <c r="K46" s="10">
        <v>35617.15</v>
      </c>
    </row>
    <row r="47" spans="1:11" x14ac:dyDescent="0.25">
      <c r="J47" s="4" t="s">
        <v>60</v>
      </c>
      <c r="K47" s="10">
        <v>313035.2</v>
      </c>
    </row>
  </sheetData>
  <conditionalFormatting pivot="1" sqref="B7:F16">
    <cfRule type="colorScale" priority="4">
      <colorScale>
        <cfvo type="min"/>
        <cfvo type="percentile" val="50"/>
        <cfvo type="max"/>
        <color rgb="FFF8696B"/>
        <color rgb="FFFFEB84"/>
        <color rgb="FF63BE7B"/>
      </colorScale>
    </cfRule>
  </conditionalFormatting>
  <conditionalFormatting pivot="1" sqref="B34:B36">
    <cfRule type="colorScale" priority="3">
      <colorScale>
        <cfvo type="min"/>
        <cfvo type="percentile" val="50"/>
        <cfvo type="max"/>
        <color rgb="FFF8696B"/>
        <color rgb="FFFFEB84"/>
        <color rgb="FF63BE7B"/>
      </colorScale>
    </cfRule>
  </conditionalFormatting>
  <conditionalFormatting pivot="1" sqref="K42:K46">
    <cfRule type="dataBar" priority="1">
      <dataBar>
        <cfvo type="min"/>
        <cfvo type="max"/>
        <color rgb="FFFF555A"/>
      </dataBar>
      <extLst>
        <ext xmlns:x14="http://schemas.microsoft.com/office/spreadsheetml/2009/9/main" uri="{B025F937-C7B1-47D3-B67F-A62EFF666E3E}">
          <x14:id>{C260BEE2-2BD4-4E1E-94EA-45B0A227804D}</x14:id>
        </ext>
      </extLst>
    </cfRule>
  </conditionalFormatting>
  <pageMargins left="0.7" right="0.7" top="0.75" bottom="0.75" header="0.3" footer="0.3"/>
  <pageSetup scale="32" fitToWidth="0" fitToHeight="0" orientation="portrait" r:id="rId8"/>
  <headerFooter>
    <oddHeader xml:space="preserve">&amp;C&amp;P
</oddHeader>
  </headerFooter>
  <drawing r:id="rId9"/>
  <extLst>
    <ext xmlns:x14="http://schemas.microsoft.com/office/spreadsheetml/2009/9/main" uri="{78C0D931-6437-407d-A8EE-F0AAD7539E65}">
      <x14:conditionalFormattings>
        <x14:conditionalFormatting xmlns:xm="http://schemas.microsoft.com/office/excel/2006/main" pivot="1">
          <x14:cfRule type="dataBar" id="{C260BEE2-2BD4-4E1E-94EA-45B0A227804D}">
            <x14:dataBar minLength="0" maxLength="100" border="1" negativeBarBorderColorSameAsPositive="0">
              <x14:cfvo type="autoMin"/>
              <x14:cfvo type="autoMax"/>
              <x14:borderColor rgb="FFFF555A"/>
              <x14:negativeFillColor rgb="FFFF0000"/>
              <x14:negativeBorderColor rgb="FFFF0000"/>
              <x14:axisColor rgb="FF000000"/>
            </x14:dataBar>
          </x14:cfRule>
          <xm:sqref>K42:K46</xm:sqref>
        </x14:conditionalFormatting>
      </x14:conditionalFormattings>
    </ex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6005C-CE98-409E-A871-6896567EDB00}">
  <dimension ref="A1:D95"/>
  <sheetViews>
    <sheetView topLeftCell="A67" workbookViewId="0">
      <selection activeCell="I83" sqref="I83"/>
    </sheetView>
  </sheetViews>
  <sheetFormatPr defaultRowHeight="13.8" x14ac:dyDescent="0.25"/>
  <cols>
    <col min="1" max="1" width="28.296875" customWidth="1"/>
    <col min="2" max="2" width="30.796875" customWidth="1"/>
  </cols>
  <sheetData>
    <row r="1" spans="1:4" x14ac:dyDescent="0.25">
      <c r="A1" s="6" t="s">
        <v>40</v>
      </c>
      <c r="B1" s="6" t="s">
        <v>41</v>
      </c>
      <c r="C1" s="6" t="s">
        <v>42</v>
      </c>
      <c r="D1" s="6" t="s">
        <v>64</v>
      </c>
    </row>
    <row r="2" spans="1:4" x14ac:dyDescent="0.25">
      <c r="A2" s="5">
        <v>4616</v>
      </c>
      <c r="B2" s="5">
        <v>5433</v>
      </c>
      <c r="C2">
        <f>_xlfn.T.TEST(A2:A57,B2:B95,2,3)</f>
        <v>0.35910938182099317</v>
      </c>
      <c r="D2">
        <f>AVERAGE(A2:A57)</f>
        <v>4292.75</v>
      </c>
    </row>
    <row r="3" spans="1:4" x14ac:dyDescent="0.25">
      <c r="A3" s="5">
        <v>2314</v>
      </c>
      <c r="B3" s="5">
        <v>5302</v>
      </c>
      <c r="D3">
        <f>AVERAGE(B2:B95)</f>
        <v>4108</v>
      </c>
    </row>
    <row r="4" spans="1:4" x14ac:dyDescent="0.25">
      <c r="A4" s="5">
        <v>4778</v>
      </c>
      <c r="B4" s="5">
        <v>3179</v>
      </c>
    </row>
    <row r="5" spans="1:4" x14ac:dyDescent="0.25">
      <c r="A5" s="5">
        <v>2927</v>
      </c>
      <c r="B5" s="5">
        <v>5337</v>
      </c>
    </row>
    <row r="6" spans="1:4" x14ac:dyDescent="0.25">
      <c r="A6" s="5">
        <v>4902</v>
      </c>
      <c r="B6" s="5">
        <v>2793</v>
      </c>
    </row>
    <row r="7" spans="1:4" x14ac:dyDescent="0.25">
      <c r="A7" s="5">
        <v>2666</v>
      </c>
      <c r="B7" s="5">
        <v>4638</v>
      </c>
    </row>
    <row r="8" spans="1:4" x14ac:dyDescent="0.25">
      <c r="A8" s="5">
        <v>4517</v>
      </c>
      <c r="B8" s="5">
        <v>3964</v>
      </c>
    </row>
    <row r="9" spans="1:4" x14ac:dyDescent="0.25">
      <c r="A9" s="5">
        <v>5808</v>
      </c>
      <c r="B9" s="5">
        <v>5444</v>
      </c>
    </row>
    <row r="10" spans="1:4" x14ac:dyDescent="0.25">
      <c r="A10" s="5">
        <v>4880</v>
      </c>
      <c r="B10" s="5">
        <v>5717</v>
      </c>
    </row>
    <row r="11" spans="1:4" x14ac:dyDescent="0.25">
      <c r="A11" s="5">
        <v>2728</v>
      </c>
      <c r="B11" s="5">
        <v>4419</v>
      </c>
    </row>
    <row r="12" spans="1:4" x14ac:dyDescent="0.25">
      <c r="A12" s="5">
        <v>5604</v>
      </c>
      <c r="B12" s="5">
        <v>5980</v>
      </c>
    </row>
    <row r="13" spans="1:4" x14ac:dyDescent="0.25">
      <c r="A13" s="5">
        <v>2065</v>
      </c>
      <c r="B13" s="5">
        <v>5828</v>
      </c>
    </row>
    <row r="14" spans="1:4" x14ac:dyDescent="0.25">
      <c r="A14" s="5">
        <v>5432</v>
      </c>
      <c r="B14" s="5">
        <v>2494</v>
      </c>
    </row>
    <row r="15" spans="1:4" x14ac:dyDescent="0.25">
      <c r="A15" s="5">
        <v>5597</v>
      </c>
      <c r="B15" s="5">
        <v>3810</v>
      </c>
    </row>
    <row r="16" spans="1:4" x14ac:dyDescent="0.25">
      <c r="A16" s="5">
        <v>3475</v>
      </c>
      <c r="B16" s="5">
        <v>4345</v>
      </c>
    </row>
    <row r="17" spans="1:2" x14ac:dyDescent="0.25">
      <c r="A17" s="5">
        <v>5444</v>
      </c>
      <c r="B17" s="5">
        <v>2018</v>
      </c>
    </row>
    <row r="18" spans="1:2" x14ac:dyDescent="0.25">
      <c r="A18" s="5">
        <v>2403</v>
      </c>
      <c r="B18" s="5">
        <v>3677</v>
      </c>
    </row>
    <row r="19" spans="1:2" x14ac:dyDescent="0.25">
      <c r="A19" s="5">
        <v>4369</v>
      </c>
      <c r="B19" s="5">
        <v>4105</v>
      </c>
    </row>
    <row r="20" spans="1:2" x14ac:dyDescent="0.25">
      <c r="A20" s="5">
        <v>5900</v>
      </c>
      <c r="B20" s="5">
        <v>2212</v>
      </c>
    </row>
    <row r="21" spans="1:2" x14ac:dyDescent="0.25">
      <c r="A21" s="5">
        <v>4829</v>
      </c>
      <c r="B21" s="5">
        <v>4149</v>
      </c>
    </row>
    <row r="22" spans="1:2" x14ac:dyDescent="0.25">
      <c r="A22" s="5">
        <v>5052</v>
      </c>
      <c r="B22" s="5">
        <v>2671</v>
      </c>
    </row>
    <row r="23" spans="1:2" x14ac:dyDescent="0.25">
      <c r="A23" s="5">
        <v>5419</v>
      </c>
      <c r="B23" s="5">
        <v>5888</v>
      </c>
    </row>
    <row r="24" spans="1:2" x14ac:dyDescent="0.25">
      <c r="A24" s="5">
        <v>5906</v>
      </c>
      <c r="B24" s="5">
        <v>5502</v>
      </c>
    </row>
    <row r="25" spans="1:2" x14ac:dyDescent="0.25">
      <c r="A25" s="5">
        <v>4486</v>
      </c>
      <c r="B25" s="5">
        <v>2818</v>
      </c>
    </row>
    <row r="26" spans="1:2" x14ac:dyDescent="0.25">
      <c r="A26" s="5">
        <v>5662</v>
      </c>
      <c r="B26" s="5">
        <v>4099</v>
      </c>
    </row>
    <row r="27" spans="1:2" x14ac:dyDescent="0.25">
      <c r="A27" s="5">
        <v>2437</v>
      </c>
      <c r="B27" s="5">
        <v>5273</v>
      </c>
    </row>
    <row r="28" spans="1:2" x14ac:dyDescent="0.25">
      <c r="A28" s="5">
        <v>5508</v>
      </c>
      <c r="B28" s="5">
        <v>4196</v>
      </c>
    </row>
    <row r="29" spans="1:2" x14ac:dyDescent="0.25">
      <c r="A29" s="5">
        <v>4553</v>
      </c>
      <c r="B29" s="5">
        <v>5059</v>
      </c>
    </row>
    <row r="30" spans="1:2" x14ac:dyDescent="0.25">
      <c r="A30" s="5">
        <v>3834</v>
      </c>
      <c r="B30" s="5">
        <v>6268</v>
      </c>
    </row>
    <row r="31" spans="1:2" x14ac:dyDescent="0.25">
      <c r="A31" s="5">
        <v>5651</v>
      </c>
      <c r="B31" s="5">
        <v>4333</v>
      </c>
    </row>
    <row r="32" spans="1:2" x14ac:dyDescent="0.25">
      <c r="A32" s="5">
        <v>4981</v>
      </c>
      <c r="B32" s="5">
        <v>2482</v>
      </c>
    </row>
    <row r="33" spans="1:2" x14ac:dyDescent="0.25">
      <c r="A33" s="5">
        <v>5688</v>
      </c>
      <c r="B33" s="5">
        <v>3265</v>
      </c>
    </row>
    <row r="34" spans="1:2" x14ac:dyDescent="0.25">
      <c r="A34" s="5">
        <v>2230</v>
      </c>
      <c r="B34" s="5">
        <v>5301</v>
      </c>
    </row>
    <row r="35" spans="1:2" x14ac:dyDescent="0.25">
      <c r="A35" s="5">
        <v>3369</v>
      </c>
      <c r="B35" s="5">
        <v>5679</v>
      </c>
    </row>
    <row r="36" spans="1:2" x14ac:dyDescent="0.25">
      <c r="A36" s="5">
        <v>2099</v>
      </c>
      <c r="B36" s="5">
        <v>5849</v>
      </c>
    </row>
    <row r="37" spans="1:2" x14ac:dyDescent="0.25">
      <c r="A37" s="5">
        <v>5353</v>
      </c>
      <c r="B37" s="5">
        <v>4038</v>
      </c>
    </row>
    <row r="38" spans="1:2" x14ac:dyDescent="0.25">
      <c r="A38" s="5">
        <v>4145</v>
      </c>
      <c r="B38" s="5">
        <v>3189</v>
      </c>
    </row>
    <row r="39" spans="1:2" x14ac:dyDescent="0.25">
      <c r="A39" s="5">
        <v>2803</v>
      </c>
      <c r="B39" s="5">
        <v>3501</v>
      </c>
    </row>
    <row r="40" spans="1:2" x14ac:dyDescent="0.25">
      <c r="A40" s="5">
        <v>3209</v>
      </c>
      <c r="B40" s="5">
        <v>2467</v>
      </c>
    </row>
    <row r="41" spans="1:2" x14ac:dyDescent="0.25">
      <c r="A41" s="5">
        <v>3797</v>
      </c>
      <c r="B41" s="5">
        <v>2074</v>
      </c>
    </row>
    <row r="42" spans="1:2" x14ac:dyDescent="0.25">
      <c r="A42" s="5">
        <v>3380</v>
      </c>
      <c r="B42" s="5">
        <v>5084</v>
      </c>
    </row>
    <row r="43" spans="1:2" x14ac:dyDescent="0.25">
      <c r="A43" s="5">
        <v>5394</v>
      </c>
      <c r="B43" s="5">
        <v>3601</v>
      </c>
    </row>
    <row r="44" spans="1:2" x14ac:dyDescent="0.25">
      <c r="A44" s="5">
        <v>2712</v>
      </c>
      <c r="B44" s="5">
        <v>2377</v>
      </c>
    </row>
    <row r="45" spans="1:2" x14ac:dyDescent="0.25">
      <c r="A45" s="5">
        <v>5172</v>
      </c>
      <c r="B45" s="5">
        <v>4777</v>
      </c>
    </row>
    <row r="46" spans="1:2" x14ac:dyDescent="0.25">
      <c r="A46" s="5">
        <v>4499</v>
      </c>
      <c r="B46" s="5">
        <v>2995</v>
      </c>
    </row>
    <row r="47" spans="1:2" x14ac:dyDescent="0.25">
      <c r="A47" s="5">
        <v>4972</v>
      </c>
      <c r="B47" s="5">
        <v>2202</v>
      </c>
    </row>
    <row r="48" spans="1:2" x14ac:dyDescent="0.25">
      <c r="A48" s="5">
        <v>4739</v>
      </c>
      <c r="B48" s="5">
        <v>4687</v>
      </c>
    </row>
    <row r="49" spans="1:2" x14ac:dyDescent="0.25">
      <c r="A49" s="5">
        <v>4287</v>
      </c>
      <c r="B49" s="5">
        <v>4716</v>
      </c>
    </row>
    <row r="50" spans="1:2" x14ac:dyDescent="0.25">
      <c r="A50" s="5">
        <v>2982</v>
      </c>
      <c r="B50" s="5">
        <v>5913</v>
      </c>
    </row>
    <row r="51" spans="1:2" x14ac:dyDescent="0.25">
      <c r="A51" s="5">
        <v>2371</v>
      </c>
      <c r="B51" s="5">
        <v>3180</v>
      </c>
    </row>
    <row r="52" spans="1:2" x14ac:dyDescent="0.25">
      <c r="A52" s="5">
        <v>3266</v>
      </c>
      <c r="B52" s="5">
        <v>3077</v>
      </c>
    </row>
    <row r="53" spans="1:2" x14ac:dyDescent="0.25">
      <c r="A53" s="5">
        <v>4479</v>
      </c>
      <c r="B53" s="5">
        <v>2508</v>
      </c>
    </row>
    <row r="54" spans="1:2" x14ac:dyDescent="0.25">
      <c r="A54" s="5">
        <v>4708</v>
      </c>
      <c r="B54" s="5">
        <v>4371</v>
      </c>
    </row>
    <row r="55" spans="1:2" x14ac:dyDescent="0.25">
      <c r="A55" s="5">
        <v>5605</v>
      </c>
      <c r="B55" s="5">
        <v>4363</v>
      </c>
    </row>
    <row r="56" spans="1:2" x14ac:dyDescent="0.25">
      <c r="A56" s="5">
        <v>4819</v>
      </c>
      <c r="B56" s="5">
        <v>2268</v>
      </c>
    </row>
    <row r="57" spans="1:2" x14ac:dyDescent="0.25">
      <c r="A57" s="5">
        <v>5573</v>
      </c>
      <c r="B57" s="5">
        <v>4193</v>
      </c>
    </row>
    <row r="58" spans="1:2" x14ac:dyDescent="0.25">
      <c r="B58" s="5">
        <v>5745</v>
      </c>
    </row>
    <row r="59" spans="1:2" x14ac:dyDescent="0.25">
      <c r="B59" s="5">
        <v>4028</v>
      </c>
    </row>
    <row r="60" spans="1:2" x14ac:dyDescent="0.25">
      <c r="B60" s="5">
        <v>4458</v>
      </c>
    </row>
    <row r="61" spans="1:2" x14ac:dyDescent="0.25">
      <c r="B61" s="5">
        <v>5683</v>
      </c>
    </row>
    <row r="62" spans="1:2" x14ac:dyDescent="0.25">
      <c r="B62" s="5">
        <v>3348</v>
      </c>
    </row>
    <row r="63" spans="1:2" x14ac:dyDescent="0.25">
      <c r="B63" s="5">
        <v>3884</v>
      </c>
    </row>
    <row r="64" spans="1:2" x14ac:dyDescent="0.25">
      <c r="B64" s="5">
        <v>5374</v>
      </c>
    </row>
    <row r="65" spans="2:2" x14ac:dyDescent="0.25">
      <c r="B65" s="5">
        <v>3106</v>
      </c>
    </row>
    <row r="66" spans="2:2" x14ac:dyDescent="0.25">
      <c r="B66" s="5">
        <v>3861</v>
      </c>
    </row>
    <row r="67" spans="2:2" x14ac:dyDescent="0.25">
      <c r="B67" s="5">
        <v>2740</v>
      </c>
    </row>
    <row r="68" spans="2:2" x14ac:dyDescent="0.25">
      <c r="B68" s="5">
        <v>4871</v>
      </c>
    </row>
    <row r="69" spans="2:2" x14ac:dyDescent="0.25">
      <c r="B69" s="5">
        <v>5001</v>
      </c>
    </row>
    <row r="70" spans="2:2" x14ac:dyDescent="0.25">
      <c r="B70" s="5">
        <v>3438</v>
      </c>
    </row>
    <row r="71" spans="2:2" x14ac:dyDescent="0.25">
      <c r="B71" s="5">
        <v>3438</v>
      </c>
    </row>
    <row r="72" spans="2:2" x14ac:dyDescent="0.25">
      <c r="B72" s="5">
        <v>4584</v>
      </c>
    </row>
    <row r="73" spans="2:2" x14ac:dyDescent="0.25">
      <c r="B73" s="5">
        <v>3110</v>
      </c>
    </row>
    <row r="74" spans="2:2" x14ac:dyDescent="0.25">
      <c r="B74" s="5">
        <v>4745</v>
      </c>
    </row>
    <row r="75" spans="2:2" x14ac:dyDescent="0.25">
      <c r="B75" s="5">
        <v>2740</v>
      </c>
    </row>
    <row r="76" spans="2:2" x14ac:dyDescent="0.25">
      <c r="B76" s="5">
        <v>4795</v>
      </c>
    </row>
    <row r="77" spans="2:2" x14ac:dyDescent="0.25">
      <c r="B77" s="5">
        <v>4054</v>
      </c>
    </row>
    <row r="78" spans="2:2" x14ac:dyDescent="0.25">
      <c r="B78" s="5">
        <v>5536</v>
      </c>
    </row>
    <row r="79" spans="2:2" x14ac:dyDescent="0.25">
      <c r="B79" s="5">
        <v>5136</v>
      </c>
    </row>
    <row r="80" spans="2:2" x14ac:dyDescent="0.25">
      <c r="B80" s="5">
        <v>3208</v>
      </c>
    </row>
    <row r="81" spans="2:2" x14ac:dyDescent="0.25">
      <c r="B81" s="5">
        <v>4317</v>
      </c>
    </row>
    <row r="82" spans="2:2" x14ac:dyDescent="0.25">
      <c r="B82" s="5">
        <v>2833</v>
      </c>
    </row>
    <row r="83" spans="2:2" x14ac:dyDescent="0.25">
      <c r="B83" s="5">
        <v>5247</v>
      </c>
    </row>
    <row r="84" spans="2:2" x14ac:dyDescent="0.25">
      <c r="B84" s="5">
        <v>2146</v>
      </c>
    </row>
    <row r="85" spans="2:2" x14ac:dyDescent="0.25">
      <c r="B85" s="5">
        <v>5137</v>
      </c>
    </row>
    <row r="86" spans="2:2" x14ac:dyDescent="0.25">
      <c r="B86" s="5">
        <v>4969</v>
      </c>
    </row>
    <row r="87" spans="2:2" x14ac:dyDescent="0.25">
      <c r="B87" s="5">
        <v>3685</v>
      </c>
    </row>
    <row r="88" spans="2:2" x14ac:dyDescent="0.25">
      <c r="B88" s="5">
        <v>3669</v>
      </c>
    </row>
    <row r="89" spans="2:2" x14ac:dyDescent="0.25">
      <c r="B89" s="5">
        <v>6259</v>
      </c>
    </row>
    <row r="90" spans="2:2" x14ac:dyDescent="0.25">
      <c r="B90" s="5">
        <v>3128</v>
      </c>
    </row>
    <row r="91" spans="2:2" x14ac:dyDescent="0.25">
      <c r="B91" s="5">
        <v>3561</v>
      </c>
    </row>
    <row r="92" spans="2:2" x14ac:dyDescent="0.25">
      <c r="B92" s="5">
        <v>2596</v>
      </c>
    </row>
    <row r="93" spans="2:2" x14ac:dyDescent="0.25">
      <c r="B93" s="5">
        <v>2825</v>
      </c>
    </row>
    <row r="94" spans="2:2" x14ac:dyDescent="0.25">
      <c r="B94" s="5">
        <v>4113</v>
      </c>
    </row>
    <row r="95" spans="2:2" x14ac:dyDescent="0.25">
      <c r="B95" s="5">
        <v>5676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Dataset</vt:lpstr>
      <vt:lpstr>Dashboard</vt:lpstr>
      <vt:lpstr>AB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dc:creator>
  <cp:lastModifiedBy>Sahil Faraz</cp:lastModifiedBy>
  <dcterms:created xsi:type="dcterms:W3CDTF">2015-06-05T18:17:20Z</dcterms:created>
  <dcterms:modified xsi:type="dcterms:W3CDTF">2025-06-24T18:11:15Z</dcterms:modified>
</cp:coreProperties>
</file>